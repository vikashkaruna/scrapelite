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Model" sheetId="1" state="visible" r:id="rId3"/>
    <sheet name="Prioritised Backlog" sheetId="2" state="visible" r:id="rId4"/>
    <sheet name="Release Plan" sheetId="3" state="visible" r:id="rId5"/>
    <sheet name="Council Verdicts" sheetId="4" state="visible" r:id="rId6"/>
  </sheets>
  <definedNames>
    <definedName function="false" hidden="true" localSheetId="1" name="_xlnm._FilterDatabase" vbProcedure="false">'Prioritised Backlog'!$A$1:$Q$63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<sst xmlns="http://schemas.openxmlformats.org/spreadsheetml/2006/main" count="472" uniqueCount="350">
  <si>
    <t xml:space="preserve">DatIQ — Prioritised Features Release Roadmap · Backlog Tracker</t>
  </si>
  <si>
    <t xml:space="preserve">Produced by a 4-member AI Model Council (Growth/Conversion · Market Strategy · Retention/UX · Platform Engineering) synthesising 6 model reports (Gemini, Perplexity, ChatGPT, Grok, DeepSeek, Meta AI) + live datiq.app review. July 16, 2026.</t>
  </si>
  <si>
    <t xml:space="preserve">Scoring weights (edit the blue cells — Value and Priority recalculate)</t>
  </si>
  <si>
    <t xml:space="preserve">CONV — Conversion-rate impact</t>
  </si>
  <si>
    <t xml:space="preserve">REACH — Market reach / acquisition</t>
  </si>
  <si>
    <t xml:space="preserve">ENG — Engagement &amp; retention</t>
  </si>
  <si>
    <t xml:space="preserve">EQ — Efficiency &amp; output quality</t>
  </si>
  <si>
    <t xml:space="preserve">DIFF — Differentiation</t>
  </si>
  <si>
    <t xml:space="preserve">MON — Monetisation fit</t>
  </si>
  <si>
    <t xml:space="preserve">Weights total</t>
  </si>
  <si>
    <t xml:space="preserve">Formulas</t>
  </si>
  <si>
    <t xml:space="preserve">Value (0–5) = Σ(score × weight) across the six parameters</t>
  </si>
  <si>
    <t xml:space="preserve">Priority Index = Value × (1 + 0.05 × Council Votes) ÷ √Effort  — √Effort keeps large strategic bets comparable to quick wins</t>
  </si>
  <si>
    <t xml:space="preserve">Council Votes = number of the 4 council members who placed the feature in their top-12 (or proposed it)</t>
  </si>
  <si>
    <t xml:space="preserve">All parameter scores (0–5) are averages of council-member scores where available, else chair-assigned from the source reports. Effort is in person-months (dev+design+QA).</t>
  </si>
  <si>
    <t xml:space="preserve">Note: Rankings guide sequencing but release assignment also honours hard dependencies (see Release Plan sheet).</t>
  </si>
  <si>
    <t xml:space="preserve">ID</t>
  </si>
  <si>
    <t xml:space="preserve">Feature</t>
  </si>
  <si>
    <t xml:space="preserve">Category</t>
  </si>
  <si>
    <t xml:space="preserve">Release</t>
  </si>
  <si>
    <t xml:space="preserve">CONV</t>
  </si>
  <si>
    <t xml:space="preserve">REACH</t>
  </si>
  <si>
    <t xml:space="preserve">ENG</t>
  </si>
  <si>
    <t xml:space="preserve">EQ</t>
  </si>
  <si>
    <t xml:space="preserve">DIFF</t>
  </si>
  <si>
    <t xml:space="preserve">MON</t>
  </si>
  <si>
    <t xml:space="preserve">Effort (pm)</t>
  </si>
  <si>
    <t xml:space="preserve">Council Votes</t>
  </si>
  <si>
    <t xml:space="preserve">Value (0–5)</t>
  </si>
  <si>
    <t xml:space="preserve">Priority Index</t>
  </si>
  <si>
    <t xml:space="preserve">Overall Rank</t>
  </si>
  <si>
    <t xml:space="preserve">Sources</t>
  </si>
  <si>
    <t xml:space="preserve">Council Notes</t>
  </si>
  <si>
    <t xml:space="preserve">F01</t>
  </si>
  <si>
    <t xml:space="preserve">One-click Export (CSV / JSON / Clipboard / Google Sheets)</t>
  </si>
  <si>
    <t xml:space="preserve">Quick Win</t>
  </si>
  <si>
    <t xml:space="preserve">R1 · v2.1</t>
  </si>
  <si>
    <t xml:space="preserve">Perplexity, ChatGPT, Grok, DeepSeek, Gemini</t>
  </si>
  <si>
    <t xml:space="preserve">Table stakes across every competitor; #1 trial-killer today — value dies on-screen. Unanimous council support.</t>
  </si>
  <si>
    <t xml:space="preserve">F02</t>
  </si>
  <si>
    <t xml:space="preserve">Accounts + Saved Extraction History</t>
  </si>
  <si>
    <t xml:space="preserve">All 5 on-topic reports; Council A/C/D</t>
  </si>
  <si>
    <t xml:space="preserve">Substrate for every later feature (collections, monitoring, API keys, teams). Free tier capped at 10 items = upgrade trigger.</t>
  </si>
  <si>
    <t xml:space="preserve">F07</t>
  </si>
  <si>
    <t xml:space="preserve">"Extract Similar" Post-result CTA</t>
  </si>
  <si>
    <t xml:space="preserve">DeepSeek (9.5/10 top pick); Council A/C</t>
  </si>
  <si>
    <t xml:space="preserve">Cheapest session-depth multiplier; turns 1 extraction into 4, burns trial quota faster, hits paywall sooner.</t>
  </si>
  <si>
    <t xml:space="preserve">F09</t>
  </si>
  <si>
    <t xml:space="preserve">AI Output Feedback Widget (thumbs up/down + comment)</t>
  </si>
  <si>
    <t xml:space="preserve">Perplexity; Council C</t>
  </si>
  <si>
    <t xml:space="preserve">Instruments perceived output quality — the silent retention variable; feeds extraction-quality improvement loop.</t>
  </si>
  <si>
    <t xml:space="preserve">F10</t>
  </si>
  <si>
    <t xml:space="preserve">Keyboard Shortcuts / Power-user Mode</t>
  </si>
  <si>
    <t xml:space="preserve">Perplexity</t>
  </si>
  <si>
    <t xml:space="preserve">Low-cost delight for analysts and power users.</t>
  </si>
  <si>
    <t xml:space="preserve">F13</t>
  </si>
  <si>
    <t xml:space="preserve">Transparent Pricing Page + Tier-Feature Mapping</t>
  </si>
  <si>
    <t xml:space="preserve">ChatGPT, DeepSeek; Council A/B</t>
  </si>
  <si>
    <t xml:space="preserve">Buyers comparison-shop ruthlessly; an uncrawlable pricing page loses deals before they start.</t>
  </si>
  <si>
    <t xml:space="preserve">F14</t>
  </si>
  <si>
    <t xml:space="preserve">Privacy &amp; Trust Messaging + Data-retention Statement</t>
  </si>
  <si>
    <t xml:space="preserve">Meta AI (transferable), Council D</t>
  </si>
  <si>
    <t xml:space="preserve">'Data deleted after Xd, no training on your data' under the input box; table stakes before Agency/API deals.</t>
  </si>
  <si>
    <t xml:space="preserve">F15</t>
  </si>
  <si>
    <t xml:space="preserve">Onboarding Tooltips / First-run Product Tour</t>
  </si>
  <si>
    <t xml:space="preserve">Copilot (transferable), Perplexity</t>
  </si>
  <si>
    <t xml:space="preserve">Clarifies the 8 extraction modes on first visit; pairs with F06 recipe chips.</t>
  </si>
  <si>
    <t xml:space="preserve">F50</t>
  </si>
  <si>
    <t xml:space="preserve">Product Analytics + A/B Instrumentation (foundational)</t>
  </si>
  <si>
    <t xml:space="preserve">Platform Foundation</t>
  </si>
  <si>
    <t xml:space="preserve">Copilot (transferable), Council C/D</t>
  </si>
  <si>
    <t xml:space="preserve">Non-negotiable: every later prioritisation claim is untestable without funnel + retention telemetry.</t>
  </si>
  <si>
    <t xml:space="preserve">FA3</t>
  </si>
  <si>
    <t xml:space="preserve">In-product Paywall / Quota-exhaustion Upgrade Flow + Annual Plans</t>
  </si>
  <si>
    <t xml:space="preserve">Council A (new)</t>
  </si>
  <si>
    <t xml:space="preserve">Upgrade screen at the exact moment of trial exhaustion, showing which paid feature completes the current task; annual anchoring.</t>
  </si>
  <si>
    <t xml:space="preserve">F04</t>
  </si>
  <si>
    <t xml:space="preserve">Shareable Result Permalinks + SSR ("Powered by DatIQ" loop)</t>
  </si>
  <si>
    <t xml:space="preserve">Growth &amp; PLG</t>
  </si>
  <si>
    <t xml:space="preserve">R2 · v2.2</t>
  </si>
  <si>
    <t xml:space="preserve">ChatGPT (#1, 4.15), Perplexity, Meta AI; Council A/B</t>
  </si>
  <si>
    <t xml:space="preserve">Every extraction becomes an indexed, shareable landing page — fixes SEO invisibility + creates the viral loop. Requires FD2 cache; ship after accounts (Council C condition) with DMCA takedown process (Council D condition).</t>
  </si>
  <si>
    <t xml:space="preserve">F05</t>
  </si>
  <si>
    <t xml:space="preserve">Homepage Animated Demo + Example Gallery + Prompt Chips</t>
  </si>
  <si>
    <t xml:space="preserve">Perplexity (#1, 43.2), Meta AI, DeepSeek</t>
  </si>
  <si>
    <t xml:space="preserve">Pre-filled animated extraction on a known URL = instant aha with zero signup friction; prompt chips teach what to ask.</t>
  </si>
  <si>
    <t xml:space="preserve">F06</t>
  </si>
  <si>
    <t xml:space="preserve">Persona Onboarding + Recipe Packs (Sales Pack, CI Pack, SEO Pack…)</t>
  </si>
  <si>
    <t xml:space="preserve">Perplexity, DeepSeek (9.0), Browse AI benchmark; Council A/C</t>
  </si>
  <si>
    <t xml:space="preserve">Routes SDRs to Contacts and analysts to Pricing in &lt;60s; blank-box tools bleed activation.</t>
  </si>
  <si>
    <t xml:space="preserve">F11</t>
  </si>
  <si>
    <t xml:space="preserve">Programmatic SEO + Persona Landing Routes (/for-sales, /extract-pricing…)</t>
  </si>
  <si>
    <t xml:space="preserve">ChatGPT (4.00), Perplexity; Council A/B</t>
  </si>
  <si>
    <t xml:space="preserve">Near-zero SEO footprint in a 13-19% CAGR category; long-tail intent pages the single home URL can never capture.</t>
  </si>
  <si>
    <t xml:space="preserve">F12</t>
  </si>
  <si>
    <t xml:space="preserve">Public Changelog + Product Hunt / Social Launch</t>
  </si>
  <si>
    <t xml:space="preserve">ChatGPT (3.75); Council A</t>
  </si>
  <si>
    <t xml:space="preserve">v2 needs a launch moment; changelog builds trust and re-engagement.</t>
  </si>
  <si>
    <t xml:space="preserve">FA1</t>
  </si>
  <si>
    <t xml:space="preserve">Free-tier "Public Report" Quota Mechanic</t>
  </si>
  <si>
    <t xml:space="preserve">Unlimited free extractions if published as public indexed DatIQ-branded pages; private runs consume quota. Feeds F04/F11 content flywheel.</t>
  </si>
  <si>
    <t xml:space="preserve">FA2</t>
  </si>
  <si>
    <t xml:space="preserve">Referral Credits Loop (give 25 / get 25)</t>
  </si>
  <si>
    <t xml:space="preserve">Triggered at quota-exhaustion moment; classic PLG, near-zero build.</t>
  </si>
  <si>
    <t xml:space="preserve">FB1</t>
  </si>
  <si>
    <t xml:space="preserve">Competitor Comparison Pages + Battle-card Generator (/vs/firecrawl…)</t>
  </si>
  <si>
    <t xml:space="preserve">Council B (new)</t>
  </si>
  <si>
    <t xml:space="preserve">Comparison keywords = highest-intent SaaS traffic; 'compare 2 competitor URLs → diff table' demos the product while ranking for it.</t>
  </si>
  <si>
    <t xml:space="preserve">F03</t>
  </si>
  <si>
    <t xml:space="preserve">Collections / Projects Workspace</t>
  </si>
  <si>
    <t xml:space="preserve">Retention &amp; Workflow</t>
  </si>
  <si>
    <t xml:space="preserve">R3 · v3.0</t>
  </si>
  <si>
    <t xml:space="preserve">Perplexity, Grok, DeepSeek (Intelligence Hub); Council C</t>
  </si>
  <si>
    <t xml:space="preserve">Named research projects (e.g. 'Q3 Competitor Research'); organised accumulation = switching cost; data model for teams later.</t>
  </si>
  <si>
    <t xml:space="preserve">F16</t>
  </si>
  <si>
    <t xml:space="preserve">Batch Enhancements (CSV URL upload, results table, parallel runs)</t>
  </si>
  <si>
    <t xml:space="preserve">All reports; batch exists in trial — deepen it</t>
  </si>
  <si>
    <t xml:space="preserve">Forces the queue/worker/retry architecture needed for monitoring + API anyway; closes gap vs Hunter bulk &amp; Clay.</t>
  </si>
  <si>
    <t xml:space="preserve">F17</t>
  </si>
  <si>
    <t xml:space="preserve">Scheduled Monitoring + Change Detection Alerts (email/Slack)</t>
  </si>
  <si>
    <t xml:space="preserve">R3 · v3.0 (beta) → R4 GA</t>
  </si>
  <si>
    <t xml:space="preserve">ALL 5 reports + all 4 council members (only unanimous feature)</t>
  </si>
  <si>
    <t xml:space="preserve">Converts one-shot tool into recurring-value subscription; the D30 retention engine and strongest $29/mo justification. Schedule tab exists — add diffing + alerting. GA gated on F36.</t>
  </si>
  <si>
    <t xml:space="preserve">F18</t>
  </si>
  <si>
    <t xml:space="preserve">Google Sheets / Airtable / Notion Export Integrations</t>
  </si>
  <si>
    <t xml:space="preserve">ChatGPT, Grok, DeepSeek</t>
  </si>
  <si>
    <t xml:space="preserve">Where extracted data actually lives for non-technical personas; cheapest 'integrations' checkbox.</t>
  </si>
  <si>
    <t xml:space="preserve">F36</t>
  </si>
  <si>
    <t xml:space="preserve">Anti-bot / Proxy / JS-rendering Infrastructure</t>
  </si>
  <si>
    <t xml:space="preserve">Gemini, DeepSeek, Bright Data benchmark; Council D (#1)</t>
  </si>
  <si>
    <t xml:space="preserve">~40% of target pages are JS-heavy or bot-protected; existential dependency for batch-at-scale, monitoring GA and API credibility.</t>
  </si>
  <si>
    <t xml:space="preserve">F49</t>
  </si>
  <si>
    <t xml:space="preserve">Deep-linked Re-engagement Emails ('your schedule ran / data changed')</t>
  </si>
  <si>
    <t xml:space="preserve">Copilot (transferable); Council C</t>
  </si>
  <si>
    <t xml:space="preserve">Free D7 lift once accounts + monitoring exist; deep links resume exact context.</t>
  </si>
  <si>
    <t xml:space="preserve">FC1</t>
  </si>
  <si>
    <t xml:space="preserve">Watchlist Home (logged-in dashboard: monitored URLs, deltas, re-run)</t>
  </si>
  <si>
    <t xml:space="preserve">Council C (new); Grok (dashboard/history feed)</t>
  </si>
  <si>
    <t xml:space="preserve">The 'Bloomberg-terminal opening screen' for web data; gives history + monitoring a daily-open surface.</t>
  </si>
  <si>
    <t xml:space="preserve">FD2</t>
  </si>
  <si>
    <t xml:space="preserve">Idempotent Job Queue + Result Cache + Dedup</t>
  </si>
  <si>
    <t xml:space="preserve">Council D (new)</t>
  </si>
  <si>
    <t xml:space="preserve">Same URL twice in an hour = one fetch; cuts infra cost 30-50%, makes permalinks instant and monitoring predictable.</t>
  </si>
  <si>
    <t xml:space="preserve">FD3</t>
  </si>
  <si>
    <t xml:space="preserve">robots.txt / ToS Compliance Engine + Per-domain Rate Limiting</t>
  </si>
  <si>
    <t xml:space="preserve">Prevents shared-infra IP bans (one abusive user blackholes everyone); the compliance story enterprise buyers ask about first.</t>
  </si>
  <si>
    <t xml:space="preserve">F08</t>
  </si>
  <si>
    <t xml:space="preserve">Preset Schema Auto-detection from URL Patterns</t>
  </si>
  <si>
    <t xml:space="preserve">Integrations &amp; Ecosystem</t>
  </si>
  <si>
    <t xml:space="preserve">R4 · v3.5</t>
  </si>
  <si>
    <t xml:space="preserve">Gemini (top pick, 16.0)</t>
  </si>
  <si>
    <t xml:space="preserve">Regex + semantic URL analysis auto-suggests product/job/article schema; reduces configuration friction.</t>
  </si>
  <si>
    <t xml:space="preserve">F19</t>
  </si>
  <si>
    <t xml:space="preserve">Zapier / Make / Webhooks</t>
  </si>
  <si>
    <t xml:space="preserve">Perplexity, ChatGPT, Grok, DeepSeek; Council A/B</t>
  </si>
  <si>
    <t xml:space="preserve">Zapier directory listing is itself an acquisition channel; 'URL extracted → push to Sheet/Notion/HubSpot' = live data pipeline.</t>
  </si>
  <si>
    <t xml:space="preserve">F21</t>
  </si>
  <si>
    <t xml:space="preserve">Public REST API + Key Management + Usage Metering</t>
  </si>
  <si>
    <t xml:space="preserve">Perplexity, ChatGPT, DeepSeek, Gemini; Council B/D</t>
  </si>
  <si>
    <t xml:space="preserve">Unlocks dev/AI segment + usage-based revenue; B2B2B distribution. Needs F02 + rate limiting.</t>
  </si>
  <si>
    <t xml:space="preserve">F22</t>
  </si>
  <si>
    <t xml:space="preserve">SDK Code-snippet Exporter (Python / Node / cURL from any manual run)</t>
  </si>
  <si>
    <t xml:space="preserve">Gemini (top-3, 16.0); Council D</t>
  </si>
  <si>
    <t xml:space="preserve">Pure templating over the API; converts UI users into API users.</t>
  </si>
  <si>
    <t xml:space="preserve">F23</t>
  </si>
  <si>
    <t xml:space="preserve">MCP Server (DatIQ as native tool for Claude/GPT/Cursor agents)</t>
  </si>
  <si>
    <t xml:space="preserve">Gemini (15.63), Perplexity, ChatGPT; Council B/D</t>
  </si>
  <si>
    <t xml:space="preserve">Thin wrapper over the API; the agent ecosystem is 2026's fastest-growing distribution channel. Ship persona-flavoured tools (extract_pricing, find_contacts).</t>
  </si>
  <si>
    <t xml:space="preserve">F24</t>
  </si>
  <si>
    <t xml:space="preserve">LLM-ready Markdown Export (RAG/agent pipelines)</t>
  </si>
  <si>
    <t xml:space="preserve">Perplexity, ChatGPT, Firecrawl benchmark; Council D</t>
  </si>
  <si>
    <t xml:space="preserve">Near-free (DOM already parsed); rides the RAG wave; captures the AI-engineer persona.</t>
  </si>
  <si>
    <t xml:space="preserve">F25</t>
  </si>
  <si>
    <t xml:space="preserve">Prebuilt Schema / Template Library (e-com, jobs, news, SaaS pricing…)</t>
  </si>
  <si>
    <t xml:space="preserve">All reports; Browse AI (150+) benchmark; Council B</t>
  </si>
  <si>
    <t xml:space="preserve">Each template doubles as an indexed SEO landing page (Browse AI's engine); typed JSON output serves developers too.</t>
  </si>
  <si>
    <t xml:space="preserve">F42</t>
  </si>
  <si>
    <t xml:space="preserve">Teams Pricing Tier + Usage-based Add-ons + Paid API Tier</t>
  </si>
  <si>
    <t xml:space="preserve">DeepSeek (monetisation section); Council A/B</t>
  </si>
  <si>
    <t xml:space="preserve">Teams $79-99/mo, metered API, enterprise custom; replaces 'Agency unlimited' abuse magnet. Sell seats before building full RBAC.</t>
  </si>
  <si>
    <t xml:space="preserve">FC3</t>
  </si>
  <si>
    <t xml:space="preserve">Weekly "Your Data Changed" Digest (auto-diff summary email)</t>
  </si>
  <si>
    <t xml:space="preserve">Council C (new); Perplexity digest idea</t>
  </si>
  <si>
    <t xml:space="preserve">Persona-valuable habit loop (not gamification fluff); extends monitoring value between sessions.</t>
  </si>
  <si>
    <t xml:space="preserve">F20</t>
  </si>
  <si>
    <t xml:space="preserve">Chrome Extension (one-click extract on current tab)</t>
  </si>
  <si>
    <t xml:space="preserve">Intelligence &amp; Quality</t>
  </si>
  <si>
    <t xml:space="preserve">R5 · v4.0</t>
  </si>
  <si>
    <t xml:space="preserve">All 5 reports (Grok #1, DeepSeek 9.0); Council A/B/C</t>
  </si>
  <si>
    <t xml:space="preserve">Chrome Web Store = free discovery surface; ambient retention; Thunderbit/Hunter prove the wedge.</t>
  </si>
  <si>
    <t xml:space="preserve">F26</t>
  </si>
  <si>
    <t xml:space="preserve">Tech Stack Detection (BuiltWith/Wappalyzer-style)</t>
  </si>
  <si>
    <t xml:space="preserve">Perplexity (7.7)</t>
  </si>
  <si>
    <t xml:space="preserve">High-value intel for SDRs (what CRM do they use?), VCs and devs; unique vs current no-code competitors.</t>
  </si>
  <si>
    <t xml:space="preserve">F27</t>
  </si>
  <si>
    <t xml:space="preserve">Domain Intelligence Dashboard (live company one-pager)</t>
  </si>
  <si>
    <t xml:space="preserve">Perplexity, Grok; Council B (category-creating framing)</t>
  </si>
  <si>
    <t xml:space="preserve">All URLs + structure + contacts + tech + latest content for any domain — a mini-Diffbot at 1/50th the price; serves VC, SDR and CI at once.</t>
  </si>
  <si>
    <t xml:space="preserve">F28</t>
  </si>
  <si>
    <t xml:space="preserve">Email Verification / Deliverability Scoring</t>
  </si>
  <si>
    <t xml:space="preserve">Perplexity, ChatGPT, Hunter benchmark</t>
  </si>
  <si>
    <t xml:space="preserve">A verified email is worth 5-10x a raw scraped address; credit-based monetisation aligned with Hunter's model.</t>
  </si>
  <si>
    <t xml:space="preserve">F35</t>
  </si>
  <si>
    <t xml:space="preserve">Self-healing Extraction + Validation Layer</t>
  </si>
  <si>
    <t xml:space="preserve">ChatGPT, Gemini, Kadoa benchmark; Council D</t>
  </si>
  <si>
    <t xml:space="preserve">Semantic re-location of fields when layouts change; drift detection; silent-wrong-data kills trust faster than errors.</t>
  </si>
  <si>
    <t xml:space="preserve">F48</t>
  </si>
  <si>
    <t xml:space="preserve">User Analytics Dashboard (usage, quota, insights unlocked)</t>
  </si>
  <si>
    <t xml:space="preserve">Grok, Copilot (transferable)</t>
  </si>
  <si>
    <t xml:space="preserve">Transparency into consumption; natural upgrade prompt surface.</t>
  </si>
  <si>
    <t xml:space="preserve">FB2</t>
  </si>
  <si>
    <t xml:space="preserve">Free Public Micro-tools (email finder, pricing extractor, sitemap visualiser)</t>
  </si>
  <si>
    <t xml:space="preserve">Council B (new); Hunter's playbook</t>
  </si>
  <si>
    <t xml:space="preserve">Each micro-tool = a distinct indexed page funnelling to signup; Hunter built its entire top-of-funnel this way.</t>
  </si>
  <si>
    <t xml:space="preserve">FC2</t>
  </si>
  <si>
    <t xml:space="preserve">Per-field Confidence Badges + Inline "Fix this field" Corrections</t>
  </si>
  <si>
    <t xml:space="preserve">Council C (new)</t>
  </si>
  <si>
    <t xml:space="preserve">One-click correction retrains the schema; builds trust and a proprietary quality dataset.</t>
  </si>
  <si>
    <t xml:space="preserve">FD1</t>
  </si>
  <si>
    <t xml:space="preserve">Extraction Reliability Layer (status page, confidence scores, retry ladder)</t>
  </si>
  <si>
    <t xml:space="preserve">fetch → headless → proxy fallback + per-result confidence; the 'it just works' difference between toy and tool.</t>
  </si>
  <si>
    <t xml:space="preserve">F30</t>
  </si>
  <si>
    <t xml:space="preserve">CRM Integrations (HubSpot first, then Salesforce/Pipedrive)</t>
  </si>
  <si>
    <t xml:space="preserve">Teams &amp; Enterprise</t>
  </si>
  <si>
    <t xml:space="preserve">R6 · v4.5</t>
  </si>
  <si>
    <t xml:space="preserve">Perplexity, DeepSeek; Council B</t>
  </si>
  <si>
    <t xml:space="preserve">'URL → enriched HubSpot record' is a Clay-lite pitch at a tenth the price; SDR willingness-to-pay lives here.</t>
  </si>
  <si>
    <t xml:space="preserve">F31</t>
  </si>
  <si>
    <t xml:space="preserve">Team Workspaces + RBAC + Shared History</t>
  </si>
  <si>
    <t xml:space="preserve">All reports; Council consensus: AFTER F02→F03 and Teams-tier demand proof</t>
  </si>
  <si>
    <t xml:space="preserve">Primary unlock for team/enterprise pricing; deliberately sequenced after collections prove multiplayer demand.</t>
  </si>
  <si>
    <t xml:space="preserve">F32</t>
  </si>
  <si>
    <t xml:space="preserve">Competitor Change-Intelligence Feed (curated CI dashboard)</t>
  </si>
  <si>
    <t xml:space="preserve">Perplexity (4.5); Browse AI mid-market benchmark</t>
  </si>
  <si>
    <t xml:space="preserve">Vertical SaaS product for PM/strategy teams: pricing updates, feature launches, team changes in one feed; builds on monitoring.</t>
  </si>
  <si>
    <t xml:space="preserve">F41</t>
  </si>
  <si>
    <t xml:space="preserve">SOC 2 / GDPR Compliance Program</t>
  </si>
  <si>
    <t xml:space="preserve">ChatGPT; Council D</t>
  </si>
  <si>
    <t xml:space="preserve">Trigger-based: pursue when enterprise deals or design-partner pipeline justify the spend.</t>
  </si>
  <si>
    <t xml:space="preserve">F44</t>
  </si>
  <si>
    <t xml:space="preserve">Localization / Multilingual Extraction + India-first GTM</t>
  </si>
  <si>
    <t xml:space="preserve">Meta AI (transferable: Hinglish, regional pricing)</t>
  </si>
  <si>
    <t xml:space="preserve">Nobody in the category does India-first; large underserved SMB/analyst market; pairs with regional payment methods.</t>
  </si>
  <si>
    <t xml:space="preserve">F29</t>
  </si>
  <si>
    <t xml:space="preserve">Waterfall Enrichment (multi-source sequential fill)</t>
  </si>
  <si>
    <t xml:space="preserve">Agentic Vision</t>
  </si>
  <si>
    <t xml:space="preserve">R7 · v5.0+</t>
  </si>
  <si>
    <t xml:space="preserve">Perplexity, DeepSeek; Clay's signature innovation</t>
  </si>
  <si>
    <t xml:space="preserve">Start with 2-source fallback (own extraction + email lookup); full waterfall is a Clay-scale project.</t>
  </si>
  <si>
    <t xml:space="preserve">F33</t>
  </si>
  <si>
    <t xml:space="preserve">Interactive Action Sandbox (logins, clicks, auth/paywalled pages)</t>
  </si>
  <si>
    <t xml:space="preserve">R7 · v5.0+ (legal-gated)</t>
  </si>
  <si>
    <t xml:space="preserve">Gemini, Firecrawl/Browserbase benchmark; Council D: KILL until legal cleared</t>
  </si>
  <si>
    <t xml:space="preserve">CFAA/ToS/GDPR minefield + credential-vault burden; revisit only post-F41 with counsel.</t>
  </si>
  <si>
    <t xml:space="preserve">F34</t>
  </si>
  <si>
    <t xml:space="preserve">"DatIQ Agent" — Autonomous Multi-step NL Research Crawler</t>
  </si>
  <si>
    <t xml:space="preserve">Gemini, Perplexity (Claygent parity); Council verdict: unanimous DELAY 12 months</t>
  </si>
  <si>
    <t xml:space="preserve">'Find CEO, pricing, tech stack for these 30 companies' autonomously. Gated on F35+F36 reliability and unit economics (20-50x per-run cost).</t>
  </si>
  <si>
    <t xml:space="preserve">F37</t>
  </si>
  <si>
    <t xml:space="preserve">Full-page Snapshots / Archiving (anti-link-rot)</t>
  </si>
  <si>
    <t xml:space="preserve">Grok</t>
  </si>
  <si>
    <t xml:space="preserve">Historical archive of monitored pages; useful for CI/legal use cases.</t>
  </si>
  <si>
    <t xml:space="preserve">F38</t>
  </si>
  <si>
    <t xml:space="preserve">AI Chat over Saved Library (ask questions across all saved extractions)</t>
  </si>
  <si>
    <t xml:space="preserve">Grok (signature idea); Council C</t>
  </si>
  <si>
    <t xml:space="preserve">Makes the accumulated library compounding, not just stored; RAG over user's own research corpus.</t>
  </si>
  <si>
    <t xml:space="preserve">F39</t>
  </si>
  <si>
    <t xml:space="preserve">Knowledge Graph / Entity Enrichment</t>
  </si>
  <si>
    <t xml:space="preserve">ChatGPT, Perplexity; Diffbot benchmark</t>
  </si>
  <si>
    <t xml:space="preserve">Entity resolution across extractions; long-term differentiator, premature before scale.</t>
  </si>
  <si>
    <t xml:space="preserve">F40</t>
  </si>
  <si>
    <t xml:space="preserve">Template Marketplace (creator monetisation)</t>
  </si>
  <si>
    <t xml:space="preserve">DeepSeek, Meta AI (transferable); Council B: revisit at 10k users</t>
  </si>
  <si>
    <t xml:space="preserve">Marketplace economics need thousands of MAU creators; ship first 100 templates in-house (F25) instead.</t>
  </si>
  <si>
    <t xml:space="preserve">F43</t>
  </si>
  <si>
    <t xml:space="preserve">Public Gallery / Remix of Shared Reports</t>
  </si>
  <si>
    <t xml:space="preserve">Meta AI (transferable)</t>
  </si>
  <si>
    <t xml:space="preserve">Network-effect play once shared permalinks (F04) reach volume.</t>
  </si>
  <si>
    <t xml:space="preserve">F45</t>
  </si>
  <si>
    <t xml:space="preserve">Mobile / PWA Optimisation</t>
  </si>
  <si>
    <t xml:space="preserve">DeepSeek (6.5, lowest), Copilot (transferable)</t>
  </si>
  <si>
    <t xml:space="preserve">Desk-work product; lowest council enthusiasm; PWA basics only.</t>
  </si>
  <si>
    <t xml:space="preserve">F46</t>
  </si>
  <si>
    <t xml:space="preserve">Milestones / Gamification ('50 companies analysed!')</t>
  </si>
  <si>
    <t xml:space="preserve">Perplexity, Copilot (transferable); Council B: 'retention theatre'</t>
  </si>
  <si>
    <t xml:space="preserve">Folded into FC3 digest; badges on a tool with no habit loop is decoration.</t>
  </si>
  <si>
    <t xml:space="preserve">F47</t>
  </si>
  <si>
    <t xml:space="preserve">Split-screen Live Render Preview</t>
  </si>
  <si>
    <t xml:space="preserve">Gemini</t>
  </si>
  <si>
    <t xml:space="preserve">Visual confirmation of extraction accuracy; nice-to-have after confidence badges (FC2).</t>
  </si>
  <si>
    <t xml:space="preserve">FB3</t>
  </si>
  <si>
    <t xml:space="preserve">Lookalike Company Discovery ('find 25 similar companies')</t>
  </si>
  <si>
    <t xml:space="preserve">Council B (new); Clay/Ocean.io benchmark</t>
  </si>
  <si>
    <t xml:space="preserve">Turns one extraction into a prospecting list; massively raises SDR willingness-to-pay.</t>
  </si>
  <si>
    <t xml:space="preserve">Theme</t>
  </si>
  <si>
    <t xml:space="preserve">Timeframe</t>
  </si>
  <si>
    <t xml:space="preserve">Objective</t>
  </si>
  <si>
    <t xml:space="preserve"># Features</t>
  </si>
  <si>
    <t xml:space="preserve">Total Effort (pm)</t>
  </si>
  <si>
    <t xml:space="preserve">Success Criteria / KPIs</t>
  </si>
  <si>
    <t xml:space="preserve">Convert &amp; Keep</t>
  </si>
  <si>
    <t xml:space="preserve">0–6 weeks (Aug 2026)</t>
  </si>
  <si>
    <t xml:space="preserve">Stop the leaks: make value portable, persistent and purchasable. Fix activation→conversion before buying traffic.</t>
  </si>
  <si>
    <t xml:space="preserve">D1 activation ≥40% (2+ extractions + 1 export); free→paid ≥3%; baseline telemetry live</t>
  </si>
  <si>
    <t xml:space="preserve">Launch &amp; Be Found</t>
  </si>
  <si>
    <t xml:space="preserve">6–12 weeks (Sep–Oct 2026)</t>
  </si>
  <si>
    <t xml:space="preserve">Acquisition flywheel: every result a shareable indexed page; persona routes; public launch moment.</t>
  </si>
  <si>
    <t xml:space="preserve">Indexed pages &gt;50; organic visits baseline; referral K-factor &gt;0.15; PH launch top-5 of day</t>
  </si>
  <si>
    <t xml:space="preserve">Habit &amp; Reliability</t>
  </si>
  <si>
    <t xml:space="preserve">Q4 2026</t>
  </si>
  <si>
    <t xml:space="preserve">Turn one-shot use into weekly habit; harden the engine (JS rendering, queue, compliance) that everything else depends on.</t>
  </si>
  <si>
    <t xml:space="preserve">D7 retention 2× baseline; extractions/session ≥3; monitoring beta on 500 URLs; fetch success ≥95%</t>
  </si>
  <si>
    <t xml:space="preserve">Ecosystem &amp; Developers</t>
  </si>
  <si>
    <t xml:space="preserve">Q1 2027</t>
  </si>
  <si>
    <t xml:space="preserve">Open the platform: API, SDK, MCP, Zapier, template library; monetisation architecture (Teams tier, metered API).</t>
  </si>
  <si>
    <t xml:space="preserve">API signups; MCP installs; Zapier listing live; WAU/MAU ≥40%; free→paid ≥5%</t>
  </si>
  <si>
    <t xml:space="preserve">Q2–Q3 2027</t>
  </si>
  <si>
    <t xml:space="preserve">Differentiate on being right: self-healing, confidence scoring, verified emails, tech-stack + domain intelligence; extension distribution.</t>
  </si>
  <si>
    <t xml:space="preserve">Extraction accuracy ≥97% on template set; verified-email credits revenue; extension WAU; D30 retention 2×</t>
  </si>
  <si>
    <t xml:space="preserve">Q4 2027</t>
  </si>
  <si>
    <t xml:space="preserve">Multiplayer + enterprise readiness: workspaces, CRM, SOC2 (trigger-based), CI feed as vertical product.</t>
  </si>
  <si>
    <t xml:space="preserve">Multi-seat accounts ≥15% of revenue; first enterprise deals; NRR &gt;110%</t>
  </si>
  <si>
    <t xml:space="preserve">2028+</t>
  </si>
  <si>
    <t xml:space="preserve">Category creation: autonomous research agent, chat-over-library, lookalikes, waterfall enrichment, knowledge graph.</t>
  </si>
  <si>
    <t xml:space="preserve">Agent unit economics positive; library-chat WAU; ARPU expansion</t>
  </si>
  <si>
    <t xml:space="preserve">Effort sums use the Effort column of the Prioritised Backlog; features spanning releases (e.g. F17 beta→GA) are counted in their first release.</t>
  </si>
  <si>
    <t xml:space="preserve">Debate</t>
  </si>
  <si>
    <t xml:space="preserve">Positions</t>
  </si>
  <si>
    <t xml:space="preserve">Council Resolution</t>
  </si>
  <si>
    <t xml:space="preserve">Ship viral permalinks (F04) first vs. fix retention first</t>
  </si>
  <si>
    <t xml:space="preserve">Growth (A) + Market (B) wanted F04 in first release; Retention (C) objected — sharing into a stateless product amplifies churn; Engineering (D) flagged DMCA + cache dependency.</t>
  </si>
  <si>
    <t xml:space="preserve">RESOLVED: F04 ships in R2, immediately after accounts/history (R1) and with the FD2 result-cache and a takedown process. Viral loop lands on a product that can retain the users it acquires.</t>
  </si>
  <si>
    <t xml:space="preserve">Monitoring now vs. infrastructure first</t>
  </si>
  <si>
    <t xml:space="preserve">All four members back monitoring (F17) — the only unanimous feature. Engineering (D) insisted a monitor that silently breaks on redesigns is a churn event with a paying customer attached.</t>
  </si>
  <si>
    <t xml:space="preserve">RESOLVED: F17 beta in R3 on a curated domain set, GA in R4 gated on anti-bot/JS infra (F36) and retry ladder (FD1 partial). C accepted the sequencing.</t>
  </si>
  <si>
    <t xml:space="preserve">Developer lane (API/MCP) vs. non-developer focus</t>
  </si>
  <si>
    <t xml:space="preserve">Growth (A) challenged the dev play — Firecrawl owns that lane at $16/mo. Market (B) countered that MCP is distribution, not a head-on dev fight; Engineering (D) showed F23 is a thin wrapper once F21 exists.</t>
  </si>
  <si>
    <t xml:space="preserve">RESOLVED: API+MCP in R4 as a distribution channel with persona-flavoured tools (extract_pricing, find_contacts) rather than a raw-scraping API price war. Primary positioning stays no-code.</t>
  </si>
  <si>
    <t xml:space="preserve">Autonomous agent as flagship vs. science project</t>
  </si>
  <si>
    <t xml:space="preserve">Gemini + Perplexity reports pitched agentic crawling as the future; every council member voted DELAY/KILL for 12 months — cost 20-50x per run, compounding error rates, no reliability layer yet.</t>
  </si>
  <si>
    <t xml:space="preserve">RESOLVED: F34 parked in R7 (2028+), explicitly gated on F35 self-healing, F36 infra, and positive unit economics. MCP (F23) carries the 'agent-ready' narrative meanwhile.</t>
  </si>
  <si>
    <t xml:space="preserve">Team features now vs. teams pricing first</t>
  </si>
  <si>
    <t xml:space="preserve">DeepSeek + Grok pushed team workspaces early; Growth (A): with 11 teams total there is no multiplayer demand yet — 'sell seats, then build for them.'</t>
  </si>
  <si>
    <t xml:space="preserve">RESOLVED: Teams *pricing tier* (F42) in R4; full workspaces/RBAC (F31) in R6 after collections (F03) prove shared-work demand. Dependency chain F02→F03→F31 respected.</t>
  </si>
  <si>
    <t xml:space="preserve">Auth/paywalled-page extraction (F33)</t>
  </si>
  <si>
    <t xml:space="preserve">Gemini ranked the action sandbox high (10.0); Engineering (D) flagged CFAA/ToS/GDPR exposure and credential-vault security burden a small team cannot carry.</t>
  </si>
  <si>
    <t xml:space="preserve">RESOLVED: KILLED from the 18-month roadmap; revisit post-SOC2 (F41) with legal counsel only.</t>
  </si>
  <si>
    <t xml:space="preserve">Wrong-product source reports</t>
  </si>
  <si>
    <t xml:space="preserve">Copilot analysed a dating app; Meta AI analysed a spreadsheet-analysis product (datiq.netlify.app). Council screened both for transferable ideas rather than discarding.</t>
  </si>
  <si>
    <t xml:space="preserve">RESOLVED: Salvaged — onboarding tooltips (F15), re-engagement deep links (F49), analytics discipline (F50) from Copilot; prompt chips (F05), privacy reassurance (F14), localization (F44), micro-tool/gallery patterns from Meta AI. All product-specific recommendations (swipe mechanics, spreadsheet connectors) excluded.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</si>
</sst>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i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EEBF7"/>
      </patternFill>
    </fill>
    <fill>
      <patternFill patternType="solid">
        <fgColor rgb="FFDE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0.22</v>
      </c>
    </row>
    <row r="6" customFormat="false" ht="15" hidden="false" customHeight="false" outlineLevel="0" collapsed="false">
      <c r="A6" s="4" t="s">
        <v>4</v>
      </c>
      <c r="B6" s="5" t="n">
        <v>0.16</v>
      </c>
    </row>
    <row r="7" customFormat="false" ht="15" hidden="false" customHeight="false" outlineLevel="0" collapsed="false">
      <c r="A7" s="4" t="s">
        <v>5</v>
      </c>
      <c r="B7" s="5" t="n">
        <v>0.2</v>
      </c>
    </row>
    <row r="8" customFormat="false" ht="15" hidden="false" customHeight="false" outlineLevel="0" collapsed="false">
      <c r="A8" s="4" t="s">
        <v>6</v>
      </c>
      <c r="B8" s="5" t="n">
        <v>0.12</v>
      </c>
    </row>
    <row r="9" customFormat="false" ht="15" hidden="false" customHeight="false" outlineLevel="0" collapsed="false">
      <c r="A9" s="4" t="s">
        <v>7</v>
      </c>
      <c r="B9" s="5" t="n">
        <v>0.15</v>
      </c>
    </row>
    <row r="10" customFormat="false" ht="15" hidden="false" customHeight="false" outlineLevel="0" collapsed="false">
      <c r="A10" s="4" t="s">
        <v>8</v>
      </c>
      <c r="B10" s="5" t="n">
        <v>0.15</v>
      </c>
    </row>
    <row r="11" customFormat="false" ht="15" hidden="false" customHeight="false" outlineLevel="0" collapsed="false">
      <c r="A11" s="3" t="s">
        <v>9</v>
      </c>
      <c r="B11" s="6" t="n">
        <f aca="false">SUM(B5:B10)</f>
        <v>1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8" customFormat="false" ht="15" hidden="false" customHeight="false" outlineLevel="0" collapsed="false">
      <c r="A18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.51"/>
    <col collapsed="false" customWidth="true" hidden="false" outlineLevel="0" max="6" min="6" style="0" width="7"/>
    <col collapsed="false" customWidth="true" hidden="false" outlineLevel="0" max="7" min="7" style="0" width="6.51"/>
    <col collapsed="false" customWidth="true" hidden="false" outlineLevel="0" max="10" min="8" style="0" width="6"/>
    <col collapsed="false" customWidth="true" hidden="false" outlineLevel="0" max="13" min="11" style="0" width="8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30"/>
    <col collapsed="false" customWidth="true" hidden="false" outlineLevel="0" max="17" min="17" style="0" width="55"/>
  </cols>
  <sheetData>
    <row r="1" customFormat="false" ht="43.25" hidden="false" customHeight="fals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</row>
    <row r="2" customFormat="false" ht="22.35" hidden="false" customHeight="false" outlineLevel="0" collapsed="false">
      <c r="A2" s="8" t="s">
        <v>33</v>
      </c>
      <c r="B2" s="8" t="s">
        <v>34</v>
      </c>
      <c r="C2" s="8" t="s">
        <v>35</v>
      </c>
      <c r="D2" s="8" t="s">
        <v>36</v>
      </c>
      <c r="E2" s="9" t="n">
        <v>5</v>
      </c>
      <c r="F2" s="9" t="n">
        <v>2</v>
      </c>
      <c r="G2" s="9" t="n">
        <v>3.3</v>
      </c>
      <c r="H2" s="9" t="n">
        <v>5</v>
      </c>
      <c r="I2" s="9" t="n">
        <v>0</v>
      </c>
      <c r="J2" s="9" t="n">
        <v>3.3</v>
      </c>
      <c r="K2" s="9" t="n">
        <v>0.4</v>
      </c>
      <c r="L2" s="9" t="n">
        <v>3</v>
      </c>
      <c r="M2" s="9" t="n">
        <f aca="false">ROUND(E2*'Scoring Model'!$B$5+F2*'Scoring Model'!$B$6+G2*'Scoring Model'!$B$7+H2*'Scoring Model'!$B$8+I2*'Scoring Model'!$B$9+J2*'Scoring Model'!$B$10,2)</f>
        <v>3.18</v>
      </c>
      <c r="N2" s="10" t="n">
        <f aca="false">ROUND(M2*(1+0.05*L2)/SQRT(K2),2)</f>
        <v>5.78</v>
      </c>
      <c r="O2" s="9" t="n">
        <f aca="false">RANK(N2,N$2:N$63)</f>
        <v>1</v>
      </c>
      <c r="P2" s="11" t="s">
        <v>37</v>
      </c>
      <c r="Q2" s="11" t="s">
        <v>38</v>
      </c>
    </row>
    <row r="3" customFormat="false" ht="19.4" hidden="false" customHeight="false" outlineLevel="0" collapsed="false">
      <c r="A3" s="12" t="s">
        <v>39</v>
      </c>
      <c r="B3" s="12" t="s">
        <v>40</v>
      </c>
      <c r="C3" s="12" t="s">
        <v>35</v>
      </c>
      <c r="D3" s="12" t="s">
        <v>36</v>
      </c>
      <c r="E3" s="13" t="n">
        <v>4.3</v>
      </c>
      <c r="F3" s="13" t="n">
        <v>2</v>
      </c>
      <c r="G3" s="13" t="n">
        <v>5</v>
      </c>
      <c r="H3" s="13" t="n">
        <v>3.3</v>
      </c>
      <c r="I3" s="13" t="n">
        <v>0.7</v>
      </c>
      <c r="J3" s="13" t="n">
        <v>4</v>
      </c>
      <c r="K3" s="13" t="n">
        <v>1.3</v>
      </c>
      <c r="L3" s="13" t="n">
        <v>3</v>
      </c>
      <c r="M3" s="13" t="n">
        <f aca="false">ROUND(E3*'Scoring Model'!$B$5+F3*'Scoring Model'!$B$6+G3*'Scoring Model'!$B$7+H3*'Scoring Model'!$B$8+I3*'Scoring Model'!$B$9+J3*'Scoring Model'!$B$10,2)</f>
        <v>3.37</v>
      </c>
      <c r="N3" s="14" t="n">
        <f aca="false">ROUND(M3*(1+0.05*L3)/SQRT(K3),2)</f>
        <v>3.4</v>
      </c>
      <c r="O3" s="13" t="n">
        <f aca="false">RANK(N3,N$2:N$63)</f>
        <v>10</v>
      </c>
      <c r="P3" s="15" t="s">
        <v>41</v>
      </c>
      <c r="Q3" s="15" t="s">
        <v>42</v>
      </c>
    </row>
    <row r="4" customFormat="false" ht="19.4" hidden="false" customHeight="false" outlineLevel="0" collapsed="false">
      <c r="A4" s="8" t="s">
        <v>43</v>
      </c>
      <c r="B4" s="8" t="s">
        <v>44</v>
      </c>
      <c r="C4" s="8" t="s">
        <v>35</v>
      </c>
      <c r="D4" s="8" t="s">
        <v>36</v>
      </c>
      <c r="E4" s="9" t="n">
        <v>3.5</v>
      </c>
      <c r="F4" s="9" t="n">
        <v>1</v>
      </c>
      <c r="G4" s="9" t="n">
        <v>4.5</v>
      </c>
      <c r="H4" s="9" t="n">
        <v>3</v>
      </c>
      <c r="I4" s="9" t="n">
        <v>2</v>
      </c>
      <c r="J4" s="9" t="n">
        <v>3.5</v>
      </c>
      <c r="K4" s="9" t="n">
        <v>0.4</v>
      </c>
      <c r="L4" s="9" t="n">
        <v>2</v>
      </c>
      <c r="M4" s="9" t="n">
        <f aca="false">ROUND(E4*'Scoring Model'!$B$5+F4*'Scoring Model'!$B$6+G4*'Scoring Model'!$B$7+H4*'Scoring Model'!$B$8+I4*'Scoring Model'!$B$9+J4*'Scoring Model'!$B$10,2)</f>
        <v>3.02</v>
      </c>
      <c r="N4" s="10" t="n">
        <f aca="false">ROUND(M4*(1+0.05*L4)/SQRT(K4),2)</f>
        <v>5.25</v>
      </c>
      <c r="O4" s="9" t="n">
        <f aca="false">RANK(N4,N$2:N$63)</f>
        <v>2</v>
      </c>
      <c r="P4" s="11" t="s">
        <v>45</v>
      </c>
      <c r="Q4" s="11" t="s">
        <v>46</v>
      </c>
    </row>
    <row r="5" customFormat="false" ht="22.35" hidden="false" customHeight="false" outlineLevel="0" collapsed="false">
      <c r="A5" s="12" t="s">
        <v>47</v>
      </c>
      <c r="B5" s="12" t="s">
        <v>48</v>
      </c>
      <c r="C5" s="12" t="s">
        <v>35</v>
      </c>
      <c r="D5" s="12" t="s">
        <v>36</v>
      </c>
      <c r="E5" s="13" t="n">
        <v>2</v>
      </c>
      <c r="F5" s="13" t="n">
        <v>0</v>
      </c>
      <c r="G5" s="13" t="n">
        <v>3</v>
      </c>
      <c r="H5" s="13" t="n">
        <v>5</v>
      </c>
      <c r="I5" s="13" t="n">
        <v>1</v>
      </c>
      <c r="J5" s="13" t="n">
        <v>1</v>
      </c>
      <c r="K5" s="13" t="n">
        <v>0.5</v>
      </c>
      <c r="L5" s="13" t="n">
        <v>1</v>
      </c>
      <c r="M5" s="13" t="n">
        <f aca="false">ROUND(E5*'Scoring Model'!$B$5+F5*'Scoring Model'!$B$6+G5*'Scoring Model'!$B$7+H5*'Scoring Model'!$B$8+I5*'Scoring Model'!$B$9+J5*'Scoring Model'!$B$10,2)</f>
        <v>1.94</v>
      </c>
      <c r="N5" s="14" t="n">
        <f aca="false">ROUND(M5*(1+0.05*L5)/SQRT(K5),2)</f>
        <v>2.88</v>
      </c>
      <c r="O5" s="13" t="n">
        <f aca="false">RANK(N5,N$2:N$63)</f>
        <v>16</v>
      </c>
      <c r="P5" s="15" t="s">
        <v>49</v>
      </c>
      <c r="Q5" s="15" t="s">
        <v>50</v>
      </c>
    </row>
    <row r="6" customFormat="false" ht="15" hidden="false" customHeight="false" outlineLevel="0" collapsed="false">
      <c r="A6" s="8" t="s">
        <v>51</v>
      </c>
      <c r="B6" s="8" t="s">
        <v>52</v>
      </c>
      <c r="C6" s="8" t="s">
        <v>35</v>
      </c>
      <c r="D6" s="8" t="s">
        <v>36</v>
      </c>
      <c r="E6" s="9" t="n">
        <v>1</v>
      </c>
      <c r="F6" s="9" t="n">
        <v>0</v>
      </c>
      <c r="G6" s="9" t="n">
        <v>2</v>
      </c>
      <c r="H6" s="9" t="n">
        <v>2</v>
      </c>
      <c r="I6" s="9" t="n">
        <v>1</v>
      </c>
      <c r="J6" s="9" t="n">
        <v>1</v>
      </c>
      <c r="K6" s="9" t="n">
        <v>0.5</v>
      </c>
      <c r="L6" s="9" t="n">
        <v>0</v>
      </c>
      <c r="M6" s="9" t="n">
        <f aca="false">ROUND(E6*'Scoring Model'!$B$5+F6*'Scoring Model'!$B$6+G6*'Scoring Model'!$B$7+H6*'Scoring Model'!$B$8+I6*'Scoring Model'!$B$9+J6*'Scoring Model'!$B$10,2)</f>
        <v>1.16</v>
      </c>
      <c r="N6" s="10" t="n">
        <f aca="false">ROUND(M6*(1+0.05*L6)/SQRT(K6),2)</f>
        <v>1.64</v>
      </c>
      <c r="O6" s="9" t="n">
        <f aca="false">RANK(N6,N$2:N$63)</f>
        <v>47</v>
      </c>
      <c r="P6" s="11" t="s">
        <v>53</v>
      </c>
      <c r="Q6" s="11" t="s">
        <v>54</v>
      </c>
    </row>
    <row r="7" customFormat="false" ht="19.4" hidden="false" customHeight="false" outlineLevel="0" collapsed="false">
      <c r="A7" s="12" t="s">
        <v>55</v>
      </c>
      <c r="B7" s="12" t="s">
        <v>56</v>
      </c>
      <c r="C7" s="12" t="s">
        <v>35</v>
      </c>
      <c r="D7" s="12" t="s">
        <v>36</v>
      </c>
      <c r="E7" s="13" t="n">
        <v>4</v>
      </c>
      <c r="F7" s="13" t="n">
        <v>2.5</v>
      </c>
      <c r="G7" s="13" t="n">
        <v>0</v>
      </c>
      <c r="H7" s="13" t="n">
        <v>0</v>
      </c>
      <c r="I7" s="13" t="n">
        <v>0.5</v>
      </c>
      <c r="J7" s="13" t="n">
        <v>4.5</v>
      </c>
      <c r="K7" s="13" t="n">
        <v>0.25</v>
      </c>
      <c r="L7" s="13" t="n">
        <v>2</v>
      </c>
      <c r="M7" s="13" t="n">
        <f aca="false">ROUND(E7*'Scoring Model'!$B$5+F7*'Scoring Model'!$B$6+G7*'Scoring Model'!$B$7+H7*'Scoring Model'!$B$8+I7*'Scoring Model'!$B$9+J7*'Scoring Model'!$B$10,2)</f>
        <v>2.03</v>
      </c>
      <c r="N7" s="14" t="n">
        <f aca="false">ROUND(M7*(1+0.05*L7)/SQRT(K7),2)</f>
        <v>4.47</v>
      </c>
      <c r="O7" s="13" t="n">
        <f aca="false">RANK(N7,N$2:N$63)</f>
        <v>3</v>
      </c>
      <c r="P7" s="15" t="s">
        <v>57</v>
      </c>
      <c r="Q7" s="15" t="s">
        <v>58</v>
      </c>
    </row>
    <row r="8" customFormat="false" ht="19.4" hidden="false" customHeight="false" outlineLevel="0" collapsed="false">
      <c r="A8" s="8" t="s">
        <v>59</v>
      </c>
      <c r="B8" s="8" t="s">
        <v>60</v>
      </c>
      <c r="C8" s="8" t="s">
        <v>35</v>
      </c>
      <c r="D8" s="8" t="s">
        <v>36</v>
      </c>
      <c r="E8" s="9" t="n">
        <v>2</v>
      </c>
      <c r="F8" s="9" t="n">
        <v>1</v>
      </c>
      <c r="G8" s="9" t="n">
        <v>1</v>
      </c>
      <c r="H8" s="9" t="n">
        <v>2</v>
      </c>
      <c r="I8" s="9" t="n">
        <v>1</v>
      </c>
      <c r="J8" s="9" t="n">
        <v>3</v>
      </c>
      <c r="K8" s="9" t="n">
        <v>0.25</v>
      </c>
      <c r="L8" s="9" t="n">
        <v>1</v>
      </c>
      <c r="M8" s="9" t="n">
        <f aca="false">ROUND(E8*'Scoring Model'!$B$5+F8*'Scoring Model'!$B$6+G8*'Scoring Model'!$B$7+H8*'Scoring Model'!$B$8+I8*'Scoring Model'!$B$9+J8*'Scoring Model'!$B$10,2)</f>
        <v>1.64</v>
      </c>
      <c r="N8" s="10" t="n">
        <f aca="false">ROUND(M8*(1+0.05*L8)/SQRT(K8),2)</f>
        <v>3.44</v>
      </c>
      <c r="O8" s="9" t="n">
        <f aca="false">RANK(N8,N$2:N$63)</f>
        <v>8</v>
      </c>
      <c r="P8" s="11" t="s">
        <v>61</v>
      </c>
      <c r="Q8" s="11" t="s">
        <v>62</v>
      </c>
    </row>
    <row r="9" customFormat="false" ht="15" hidden="false" customHeight="false" outlineLevel="0" collapsed="false">
      <c r="A9" s="12" t="s">
        <v>63</v>
      </c>
      <c r="B9" s="12" t="s">
        <v>64</v>
      </c>
      <c r="C9" s="12" t="s">
        <v>35</v>
      </c>
      <c r="D9" s="12" t="s">
        <v>36</v>
      </c>
      <c r="E9" s="13" t="n">
        <v>3</v>
      </c>
      <c r="F9" s="13" t="n">
        <v>0</v>
      </c>
      <c r="G9" s="13" t="n">
        <v>2</v>
      </c>
      <c r="H9" s="13" t="n">
        <v>2</v>
      </c>
      <c r="I9" s="13" t="n">
        <v>0</v>
      </c>
      <c r="J9" s="13" t="n">
        <v>1</v>
      </c>
      <c r="K9" s="13" t="n">
        <v>0.5</v>
      </c>
      <c r="L9" s="13" t="n">
        <v>0</v>
      </c>
      <c r="M9" s="13" t="n">
        <f aca="false">ROUND(E9*'Scoring Model'!$B$5+F9*'Scoring Model'!$B$6+G9*'Scoring Model'!$B$7+H9*'Scoring Model'!$B$8+I9*'Scoring Model'!$B$9+J9*'Scoring Model'!$B$10,2)</f>
        <v>1.45</v>
      </c>
      <c r="N9" s="14" t="n">
        <f aca="false">ROUND(M9*(1+0.05*L9)/SQRT(K9),2)</f>
        <v>2.05</v>
      </c>
      <c r="O9" s="13" t="n">
        <f aca="false">RANK(N9,N$2:N$63)</f>
        <v>38</v>
      </c>
      <c r="P9" s="15" t="s">
        <v>65</v>
      </c>
      <c r="Q9" s="15" t="s">
        <v>66</v>
      </c>
    </row>
    <row r="10" customFormat="false" ht="19.4" hidden="false" customHeight="false" outlineLevel="0" collapsed="false">
      <c r="A10" s="8" t="s">
        <v>67</v>
      </c>
      <c r="B10" s="8" t="s">
        <v>68</v>
      </c>
      <c r="C10" s="8" t="s">
        <v>69</v>
      </c>
      <c r="D10" s="8" t="s">
        <v>36</v>
      </c>
      <c r="E10" s="9" t="n">
        <v>1.5</v>
      </c>
      <c r="F10" s="9" t="n">
        <v>0.5</v>
      </c>
      <c r="G10" s="9" t="n">
        <v>2.5</v>
      </c>
      <c r="H10" s="9" t="n">
        <v>3.5</v>
      </c>
      <c r="I10" s="9" t="n">
        <v>0</v>
      </c>
      <c r="J10" s="9" t="n">
        <v>1.5</v>
      </c>
      <c r="K10" s="9" t="n">
        <v>0.9</v>
      </c>
      <c r="L10" s="9" t="n">
        <v>2</v>
      </c>
      <c r="M10" s="9" t="n">
        <f aca="false">ROUND(E10*'Scoring Model'!$B$5+F10*'Scoring Model'!$B$6+G10*'Scoring Model'!$B$7+H10*'Scoring Model'!$B$8+I10*'Scoring Model'!$B$9+J10*'Scoring Model'!$B$10,2)</f>
        <v>1.56</v>
      </c>
      <c r="N10" s="10" t="n">
        <f aca="false">ROUND(M10*(1+0.05*L10)/SQRT(K10),2)</f>
        <v>1.81</v>
      </c>
      <c r="O10" s="9" t="n">
        <f aca="false">RANK(N10,N$2:N$63)</f>
        <v>44</v>
      </c>
      <c r="P10" s="11" t="s">
        <v>70</v>
      </c>
      <c r="Q10" s="11" t="s">
        <v>71</v>
      </c>
    </row>
    <row r="11" customFormat="false" ht="22.35" hidden="false" customHeight="false" outlineLevel="0" collapsed="false">
      <c r="A11" s="12" t="s">
        <v>72</v>
      </c>
      <c r="B11" s="12" t="s">
        <v>73</v>
      </c>
      <c r="C11" s="12" t="s">
        <v>35</v>
      </c>
      <c r="D11" s="12" t="s">
        <v>36</v>
      </c>
      <c r="E11" s="13" t="n">
        <v>5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5</v>
      </c>
      <c r="K11" s="13" t="n">
        <v>0.5</v>
      </c>
      <c r="L11" s="13" t="n">
        <v>1</v>
      </c>
      <c r="M11" s="13" t="n">
        <f aca="false">ROUND(E11*'Scoring Model'!$B$5+F11*'Scoring Model'!$B$6+G11*'Scoring Model'!$B$7+H11*'Scoring Model'!$B$8+I11*'Scoring Model'!$B$9+J11*'Scoring Model'!$B$10,2)</f>
        <v>1.85</v>
      </c>
      <c r="N11" s="14" t="n">
        <f aca="false">ROUND(M11*(1+0.05*L11)/SQRT(K11),2)</f>
        <v>2.75</v>
      </c>
      <c r="O11" s="13" t="n">
        <f aca="false">RANK(N11,N$2:N$63)</f>
        <v>18</v>
      </c>
      <c r="P11" s="15" t="s">
        <v>74</v>
      </c>
      <c r="Q11" s="15" t="s">
        <v>75</v>
      </c>
    </row>
    <row r="12" customFormat="false" ht="28.35" hidden="false" customHeight="false" outlineLevel="0" collapsed="false">
      <c r="A12" s="8" t="s">
        <v>76</v>
      </c>
      <c r="B12" s="8" t="s">
        <v>77</v>
      </c>
      <c r="C12" s="8" t="s">
        <v>78</v>
      </c>
      <c r="D12" s="8" t="s">
        <v>79</v>
      </c>
      <c r="E12" s="9" t="n">
        <v>4.5</v>
      </c>
      <c r="F12" s="9" t="n">
        <v>5</v>
      </c>
      <c r="G12" s="9" t="n">
        <v>3.5</v>
      </c>
      <c r="H12" s="9" t="n">
        <v>2</v>
      </c>
      <c r="I12" s="9" t="n">
        <v>3.5</v>
      </c>
      <c r="J12" s="9" t="n">
        <v>2</v>
      </c>
      <c r="K12" s="9" t="n">
        <v>1.5</v>
      </c>
      <c r="L12" s="9" t="n">
        <v>2</v>
      </c>
      <c r="M12" s="9" t="n">
        <f aca="false">ROUND(E12*'Scoring Model'!$B$5+F12*'Scoring Model'!$B$6+G12*'Scoring Model'!$B$7+H12*'Scoring Model'!$B$8+I12*'Scoring Model'!$B$9+J12*'Scoring Model'!$B$10,2)</f>
        <v>3.56</v>
      </c>
      <c r="N12" s="10" t="n">
        <f aca="false">ROUND(M12*(1+0.05*L12)/SQRT(K12),2)</f>
        <v>3.2</v>
      </c>
      <c r="O12" s="9" t="n">
        <f aca="false">RANK(N12,N$2:N$63)</f>
        <v>13</v>
      </c>
      <c r="P12" s="11" t="s">
        <v>80</v>
      </c>
      <c r="Q12" s="11" t="s">
        <v>81</v>
      </c>
    </row>
    <row r="13" customFormat="false" ht="22.35" hidden="false" customHeight="false" outlineLevel="0" collapsed="false">
      <c r="A13" s="12" t="s">
        <v>82</v>
      </c>
      <c r="B13" s="12" t="s">
        <v>83</v>
      </c>
      <c r="C13" s="12" t="s">
        <v>78</v>
      </c>
      <c r="D13" s="12" t="s">
        <v>79</v>
      </c>
      <c r="E13" s="13" t="n">
        <v>4</v>
      </c>
      <c r="F13" s="13" t="n">
        <v>3</v>
      </c>
      <c r="G13" s="13" t="n">
        <v>1</v>
      </c>
      <c r="H13" s="13" t="n">
        <v>1</v>
      </c>
      <c r="I13" s="13" t="n">
        <v>1</v>
      </c>
      <c r="J13" s="13" t="n">
        <v>1</v>
      </c>
      <c r="K13" s="13" t="n">
        <v>0.75</v>
      </c>
      <c r="L13" s="13" t="n">
        <v>1</v>
      </c>
      <c r="M13" s="13" t="n">
        <f aca="false">ROUND(E13*'Scoring Model'!$B$5+F13*'Scoring Model'!$B$6+G13*'Scoring Model'!$B$7+H13*'Scoring Model'!$B$8+I13*'Scoring Model'!$B$9+J13*'Scoring Model'!$B$10,2)</f>
        <v>1.98</v>
      </c>
      <c r="N13" s="14" t="n">
        <f aca="false">ROUND(M13*(1+0.05*L13)/SQRT(K13),2)</f>
        <v>2.4</v>
      </c>
      <c r="O13" s="13" t="n">
        <f aca="false">RANK(N13,N$2:N$63)</f>
        <v>30</v>
      </c>
      <c r="P13" s="15" t="s">
        <v>84</v>
      </c>
      <c r="Q13" s="15" t="s">
        <v>85</v>
      </c>
    </row>
    <row r="14" customFormat="false" ht="22.35" hidden="false" customHeight="false" outlineLevel="0" collapsed="false">
      <c r="A14" s="8" t="s">
        <v>86</v>
      </c>
      <c r="B14" s="8" t="s">
        <v>87</v>
      </c>
      <c r="C14" s="8" t="s">
        <v>78</v>
      </c>
      <c r="D14" s="8" t="s">
        <v>79</v>
      </c>
      <c r="E14" s="9" t="n">
        <v>5</v>
      </c>
      <c r="F14" s="9" t="n">
        <v>2</v>
      </c>
      <c r="G14" s="9" t="n">
        <v>3.5</v>
      </c>
      <c r="H14" s="9" t="n">
        <v>4</v>
      </c>
      <c r="I14" s="9" t="n">
        <v>2</v>
      </c>
      <c r="J14" s="9" t="n">
        <v>3</v>
      </c>
      <c r="K14" s="9" t="n">
        <v>1.25</v>
      </c>
      <c r="L14" s="9" t="n">
        <v>2</v>
      </c>
      <c r="M14" s="9" t="n">
        <f aca="false">ROUND(E14*'Scoring Model'!$B$5+F14*'Scoring Model'!$B$6+G14*'Scoring Model'!$B$7+H14*'Scoring Model'!$B$8+I14*'Scoring Model'!$B$9+J14*'Scoring Model'!$B$10,2)</f>
        <v>3.35</v>
      </c>
      <c r="N14" s="10" t="n">
        <f aca="false">ROUND(M14*(1+0.05*L14)/SQRT(K14),2)</f>
        <v>3.3</v>
      </c>
      <c r="O14" s="9" t="n">
        <f aca="false">RANK(N14,N$2:N$63)</f>
        <v>11</v>
      </c>
      <c r="P14" s="11" t="s">
        <v>88</v>
      </c>
      <c r="Q14" s="11" t="s">
        <v>89</v>
      </c>
    </row>
    <row r="15" customFormat="false" ht="22.35" hidden="false" customHeight="false" outlineLevel="0" collapsed="false">
      <c r="A15" s="12" t="s">
        <v>90</v>
      </c>
      <c r="B15" s="12" t="s">
        <v>91</v>
      </c>
      <c r="C15" s="12" t="s">
        <v>78</v>
      </c>
      <c r="D15" s="12" t="s">
        <v>79</v>
      </c>
      <c r="E15" s="13" t="n">
        <v>3</v>
      </c>
      <c r="F15" s="13" t="n">
        <v>5</v>
      </c>
      <c r="G15" s="13" t="n">
        <v>1</v>
      </c>
      <c r="H15" s="13" t="n">
        <v>1</v>
      </c>
      <c r="I15" s="13" t="n">
        <v>2</v>
      </c>
      <c r="J15" s="13" t="n">
        <v>2</v>
      </c>
      <c r="K15" s="13" t="n">
        <v>1</v>
      </c>
      <c r="L15" s="13" t="n">
        <v>2</v>
      </c>
      <c r="M15" s="13" t="n">
        <f aca="false">ROUND(E15*'Scoring Model'!$B$5+F15*'Scoring Model'!$B$6+G15*'Scoring Model'!$B$7+H15*'Scoring Model'!$B$8+I15*'Scoring Model'!$B$9+J15*'Scoring Model'!$B$10,2)</f>
        <v>2.38</v>
      </c>
      <c r="N15" s="14" t="n">
        <f aca="false">ROUND(M15*(1+0.05*L15)/SQRT(K15),2)</f>
        <v>2.62</v>
      </c>
      <c r="O15" s="13" t="n">
        <f aca="false">RANK(N15,N$2:N$63)</f>
        <v>22</v>
      </c>
      <c r="P15" s="15" t="s">
        <v>92</v>
      </c>
      <c r="Q15" s="15" t="s">
        <v>93</v>
      </c>
    </row>
    <row r="16" customFormat="false" ht="15" hidden="false" customHeight="false" outlineLevel="0" collapsed="false">
      <c r="A16" s="8" t="s">
        <v>94</v>
      </c>
      <c r="B16" s="8" t="s">
        <v>95</v>
      </c>
      <c r="C16" s="8" t="s">
        <v>78</v>
      </c>
      <c r="D16" s="8" t="s">
        <v>79</v>
      </c>
      <c r="E16" s="9" t="n">
        <v>2</v>
      </c>
      <c r="F16" s="9" t="n">
        <v>4</v>
      </c>
      <c r="G16" s="9" t="n">
        <v>1</v>
      </c>
      <c r="H16" s="9" t="n">
        <v>0</v>
      </c>
      <c r="I16" s="9" t="n">
        <v>0</v>
      </c>
      <c r="J16" s="9" t="n">
        <v>1</v>
      </c>
      <c r="K16" s="9" t="n">
        <v>0.5</v>
      </c>
      <c r="L16" s="9" t="n">
        <v>1</v>
      </c>
      <c r="M16" s="9" t="n">
        <f aca="false">ROUND(E16*'Scoring Model'!$B$5+F16*'Scoring Model'!$B$6+G16*'Scoring Model'!$B$7+H16*'Scoring Model'!$B$8+I16*'Scoring Model'!$B$9+J16*'Scoring Model'!$B$10,2)</f>
        <v>1.43</v>
      </c>
      <c r="N16" s="10" t="n">
        <f aca="false">ROUND(M16*(1+0.05*L16)/SQRT(K16),2)</f>
        <v>2.12</v>
      </c>
      <c r="O16" s="9" t="n">
        <f aca="false">RANK(N16,N$2:N$63)</f>
        <v>35</v>
      </c>
      <c r="P16" s="11" t="s">
        <v>96</v>
      </c>
      <c r="Q16" s="11" t="s">
        <v>97</v>
      </c>
    </row>
    <row r="17" customFormat="false" ht="19.4" hidden="false" customHeight="false" outlineLevel="0" collapsed="false">
      <c r="A17" s="12" t="s">
        <v>98</v>
      </c>
      <c r="B17" s="12" t="s">
        <v>99</v>
      </c>
      <c r="C17" s="12" t="s">
        <v>78</v>
      </c>
      <c r="D17" s="12" t="s">
        <v>79</v>
      </c>
      <c r="E17" s="13" t="n">
        <v>4</v>
      </c>
      <c r="F17" s="13" t="n">
        <v>5</v>
      </c>
      <c r="G17" s="13" t="n">
        <v>3</v>
      </c>
      <c r="H17" s="13" t="n">
        <v>1</v>
      </c>
      <c r="I17" s="13" t="n">
        <v>4</v>
      </c>
      <c r="J17" s="13" t="n">
        <v>3</v>
      </c>
      <c r="K17" s="13" t="n">
        <v>0.75</v>
      </c>
      <c r="L17" s="13" t="n">
        <v>1</v>
      </c>
      <c r="M17" s="13" t="n">
        <f aca="false">ROUND(E17*'Scoring Model'!$B$5+F17*'Scoring Model'!$B$6+G17*'Scoring Model'!$B$7+H17*'Scoring Model'!$B$8+I17*'Scoring Model'!$B$9+J17*'Scoring Model'!$B$10,2)</f>
        <v>3.45</v>
      </c>
      <c r="N17" s="14" t="n">
        <f aca="false">ROUND(M17*(1+0.05*L17)/SQRT(K17),2)</f>
        <v>4.18</v>
      </c>
      <c r="O17" s="13" t="n">
        <f aca="false">RANK(N17,N$2:N$63)</f>
        <v>5</v>
      </c>
      <c r="P17" s="15" t="s">
        <v>74</v>
      </c>
      <c r="Q17" s="15" t="s">
        <v>100</v>
      </c>
    </row>
    <row r="18" customFormat="false" ht="15" hidden="false" customHeight="false" outlineLevel="0" collapsed="false">
      <c r="A18" s="8" t="s">
        <v>101</v>
      </c>
      <c r="B18" s="8" t="s">
        <v>102</v>
      </c>
      <c r="C18" s="8" t="s">
        <v>78</v>
      </c>
      <c r="D18" s="8" t="s">
        <v>79</v>
      </c>
      <c r="E18" s="9" t="n">
        <v>3</v>
      </c>
      <c r="F18" s="9" t="n">
        <v>4</v>
      </c>
      <c r="G18" s="9" t="n">
        <v>2</v>
      </c>
      <c r="H18" s="9" t="n">
        <v>0</v>
      </c>
      <c r="I18" s="9" t="n">
        <v>1</v>
      </c>
      <c r="J18" s="9" t="n">
        <v>3</v>
      </c>
      <c r="K18" s="9" t="n">
        <v>0.5</v>
      </c>
      <c r="L18" s="9" t="n">
        <v>1</v>
      </c>
      <c r="M18" s="9" t="n">
        <f aca="false">ROUND(E18*'Scoring Model'!$B$5+F18*'Scoring Model'!$B$6+G18*'Scoring Model'!$B$7+H18*'Scoring Model'!$B$8+I18*'Scoring Model'!$B$9+J18*'Scoring Model'!$B$10,2)</f>
        <v>2.3</v>
      </c>
      <c r="N18" s="10" t="n">
        <f aca="false">ROUND(M18*(1+0.05*L18)/SQRT(K18),2)</f>
        <v>3.42</v>
      </c>
      <c r="O18" s="9" t="n">
        <f aca="false">RANK(N18,N$2:N$63)</f>
        <v>9</v>
      </c>
      <c r="P18" s="11" t="s">
        <v>74</v>
      </c>
      <c r="Q18" s="11" t="s">
        <v>103</v>
      </c>
    </row>
    <row r="19" customFormat="false" ht="22.35" hidden="false" customHeight="false" outlineLevel="0" collapsed="false">
      <c r="A19" s="12" t="s">
        <v>104</v>
      </c>
      <c r="B19" s="12" t="s">
        <v>105</v>
      </c>
      <c r="C19" s="12" t="s">
        <v>78</v>
      </c>
      <c r="D19" s="12" t="s">
        <v>79</v>
      </c>
      <c r="E19" s="13" t="n">
        <v>4</v>
      </c>
      <c r="F19" s="13" t="n">
        <v>5</v>
      </c>
      <c r="G19" s="13" t="n">
        <v>2</v>
      </c>
      <c r="H19" s="13" t="n">
        <v>2</v>
      </c>
      <c r="I19" s="13" t="n">
        <v>3</v>
      </c>
      <c r="J19" s="13" t="n">
        <v>2</v>
      </c>
      <c r="K19" s="13" t="n">
        <v>1</v>
      </c>
      <c r="L19" s="13" t="n">
        <v>1</v>
      </c>
      <c r="M19" s="13" t="n">
        <f aca="false">ROUND(E19*'Scoring Model'!$B$5+F19*'Scoring Model'!$B$6+G19*'Scoring Model'!$B$7+H19*'Scoring Model'!$B$8+I19*'Scoring Model'!$B$9+J19*'Scoring Model'!$B$10,2)</f>
        <v>3.07</v>
      </c>
      <c r="N19" s="14" t="n">
        <f aca="false">ROUND(M19*(1+0.05*L19)/SQRT(K19),2)</f>
        <v>3.22</v>
      </c>
      <c r="O19" s="13" t="n">
        <f aca="false">RANK(N19,N$2:N$63)</f>
        <v>12</v>
      </c>
      <c r="P19" s="15" t="s">
        <v>106</v>
      </c>
      <c r="Q19" s="15" t="s">
        <v>107</v>
      </c>
    </row>
    <row r="20" customFormat="false" ht="19.4" hidden="false" customHeight="false" outlineLevel="0" collapsed="false">
      <c r="A20" s="8" t="s">
        <v>108</v>
      </c>
      <c r="B20" s="8" t="s">
        <v>109</v>
      </c>
      <c r="C20" s="8" t="s">
        <v>110</v>
      </c>
      <c r="D20" s="8" t="s">
        <v>111</v>
      </c>
      <c r="E20" s="9" t="n">
        <v>2</v>
      </c>
      <c r="F20" s="9" t="n">
        <v>1</v>
      </c>
      <c r="G20" s="9" t="n">
        <v>5</v>
      </c>
      <c r="H20" s="9" t="n">
        <v>3</v>
      </c>
      <c r="I20" s="9" t="n">
        <v>2</v>
      </c>
      <c r="J20" s="9" t="n">
        <v>4</v>
      </c>
      <c r="K20" s="9" t="n">
        <v>2.5</v>
      </c>
      <c r="L20" s="9" t="n">
        <v>1</v>
      </c>
      <c r="M20" s="9" t="n">
        <f aca="false">ROUND(E20*'Scoring Model'!$B$5+F20*'Scoring Model'!$B$6+G20*'Scoring Model'!$B$7+H20*'Scoring Model'!$B$8+I20*'Scoring Model'!$B$9+J20*'Scoring Model'!$B$10,2)</f>
        <v>2.86</v>
      </c>
      <c r="N20" s="10" t="n">
        <f aca="false">ROUND(M20*(1+0.05*L20)/SQRT(K20),2)</f>
        <v>1.9</v>
      </c>
      <c r="O20" s="9" t="n">
        <f aca="false">RANK(N20,N$2:N$63)</f>
        <v>41</v>
      </c>
      <c r="P20" s="11" t="s">
        <v>112</v>
      </c>
      <c r="Q20" s="11" t="s">
        <v>113</v>
      </c>
    </row>
    <row r="21" customFormat="false" ht="22.35" hidden="false" customHeight="false" outlineLevel="0" collapsed="false">
      <c r="A21" s="12" t="s">
        <v>114</v>
      </c>
      <c r="B21" s="12" t="s">
        <v>115</v>
      </c>
      <c r="C21" s="12" t="s">
        <v>110</v>
      </c>
      <c r="D21" s="12" t="s">
        <v>111</v>
      </c>
      <c r="E21" s="13" t="n">
        <v>3.5</v>
      </c>
      <c r="F21" s="13" t="n">
        <v>1.5</v>
      </c>
      <c r="G21" s="13" t="n">
        <v>3.5</v>
      </c>
      <c r="H21" s="13" t="n">
        <v>5</v>
      </c>
      <c r="I21" s="13" t="n">
        <v>1</v>
      </c>
      <c r="J21" s="13" t="n">
        <v>4</v>
      </c>
      <c r="K21" s="13" t="n">
        <v>1.75</v>
      </c>
      <c r="L21" s="13" t="n">
        <v>2</v>
      </c>
      <c r="M21" s="13" t="n">
        <f aca="false">ROUND(E21*'Scoring Model'!$B$5+F21*'Scoring Model'!$B$6+G21*'Scoring Model'!$B$7+H21*'Scoring Model'!$B$8+I21*'Scoring Model'!$B$9+J21*'Scoring Model'!$B$10,2)</f>
        <v>3.06</v>
      </c>
      <c r="N21" s="14" t="n">
        <f aca="false">ROUND(M21*(1+0.05*L21)/SQRT(K21),2)</f>
        <v>2.54</v>
      </c>
      <c r="O21" s="13" t="n">
        <f aca="false">RANK(N21,N$2:N$63)</f>
        <v>25</v>
      </c>
      <c r="P21" s="15" t="s">
        <v>116</v>
      </c>
      <c r="Q21" s="15" t="s">
        <v>117</v>
      </c>
    </row>
    <row r="22" customFormat="false" ht="28.35" hidden="false" customHeight="false" outlineLevel="0" collapsed="false">
      <c r="A22" s="8" t="s">
        <v>118</v>
      </c>
      <c r="B22" s="8" t="s">
        <v>119</v>
      </c>
      <c r="C22" s="8" t="s">
        <v>110</v>
      </c>
      <c r="D22" s="8" t="s">
        <v>120</v>
      </c>
      <c r="E22" s="9" t="n">
        <v>3.5</v>
      </c>
      <c r="F22" s="9" t="n">
        <v>2.5</v>
      </c>
      <c r="G22" s="9" t="n">
        <v>5</v>
      </c>
      <c r="H22" s="9" t="n">
        <v>3.5</v>
      </c>
      <c r="I22" s="9" t="n">
        <v>3</v>
      </c>
      <c r="J22" s="9" t="n">
        <v>5</v>
      </c>
      <c r="K22" s="9" t="n">
        <v>2.4</v>
      </c>
      <c r="L22" s="9" t="n">
        <v>4</v>
      </c>
      <c r="M22" s="9" t="n">
        <f aca="false">ROUND(E22*'Scoring Model'!$B$5+F22*'Scoring Model'!$B$6+G22*'Scoring Model'!$B$7+H22*'Scoring Model'!$B$8+I22*'Scoring Model'!$B$9+J22*'Scoring Model'!$B$10,2)</f>
        <v>3.79</v>
      </c>
      <c r="N22" s="10" t="n">
        <f aca="false">ROUND(M22*(1+0.05*L22)/SQRT(K22),2)</f>
        <v>2.94</v>
      </c>
      <c r="O22" s="9" t="n">
        <f aca="false">RANK(N22,N$2:N$63)</f>
        <v>15</v>
      </c>
      <c r="P22" s="11" t="s">
        <v>121</v>
      </c>
      <c r="Q22" s="11" t="s">
        <v>122</v>
      </c>
    </row>
    <row r="23" customFormat="false" ht="19.4" hidden="false" customHeight="false" outlineLevel="0" collapsed="false">
      <c r="A23" s="12" t="s">
        <v>123</v>
      </c>
      <c r="B23" s="12" t="s">
        <v>124</v>
      </c>
      <c r="C23" s="12" t="s">
        <v>110</v>
      </c>
      <c r="D23" s="12" t="s">
        <v>111</v>
      </c>
      <c r="E23" s="13" t="n">
        <v>3</v>
      </c>
      <c r="F23" s="13" t="n">
        <v>3</v>
      </c>
      <c r="G23" s="13" t="n">
        <v>3</v>
      </c>
      <c r="H23" s="13" t="n">
        <v>3</v>
      </c>
      <c r="I23" s="13" t="n">
        <v>1</v>
      </c>
      <c r="J23" s="13" t="n">
        <v>4</v>
      </c>
      <c r="K23" s="13" t="n">
        <v>1.5</v>
      </c>
      <c r="L23" s="13" t="n">
        <v>0</v>
      </c>
      <c r="M23" s="13" t="n">
        <f aca="false">ROUND(E23*'Scoring Model'!$B$5+F23*'Scoring Model'!$B$6+G23*'Scoring Model'!$B$7+H23*'Scoring Model'!$B$8+I23*'Scoring Model'!$B$9+J23*'Scoring Model'!$B$10,2)</f>
        <v>2.85</v>
      </c>
      <c r="N23" s="14" t="n">
        <f aca="false">ROUND(M23*(1+0.05*L23)/SQRT(K23),2)</f>
        <v>2.33</v>
      </c>
      <c r="O23" s="13" t="n">
        <f aca="false">RANK(N23,N$2:N$63)</f>
        <v>31</v>
      </c>
      <c r="P23" s="15" t="s">
        <v>125</v>
      </c>
      <c r="Q23" s="15" t="s">
        <v>126</v>
      </c>
    </row>
    <row r="24" customFormat="false" ht="19.4" hidden="false" customHeight="false" outlineLevel="0" collapsed="false">
      <c r="A24" s="8" t="s">
        <v>127</v>
      </c>
      <c r="B24" s="8" t="s">
        <v>128</v>
      </c>
      <c r="C24" s="8" t="s">
        <v>69</v>
      </c>
      <c r="D24" s="8" t="s">
        <v>111</v>
      </c>
      <c r="E24" s="9" t="n">
        <v>3</v>
      </c>
      <c r="F24" s="9" t="n">
        <v>2</v>
      </c>
      <c r="G24" s="9" t="n">
        <v>4</v>
      </c>
      <c r="H24" s="9" t="n">
        <v>5</v>
      </c>
      <c r="I24" s="9" t="n">
        <v>2</v>
      </c>
      <c r="J24" s="9" t="n">
        <v>3</v>
      </c>
      <c r="K24" s="9" t="n">
        <v>2.5</v>
      </c>
      <c r="L24" s="9" t="n">
        <v>1</v>
      </c>
      <c r="M24" s="9" t="n">
        <f aca="false">ROUND(E24*'Scoring Model'!$B$5+F24*'Scoring Model'!$B$6+G24*'Scoring Model'!$B$7+H24*'Scoring Model'!$B$8+I24*'Scoring Model'!$B$9+J24*'Scoring Model'!$B$10,2)</f>
        <v>3.13</v>
      </c>
      <c r="N24" s="10" t="n">
        <f aca="false">ROUND(M24*(1+0.05*L24)/SQRT(K24),2)</f>
        <v>2.08</v>
      </c>
      <c r="O24" s="9" t="n">
        <f aca="false">RANK(N24,N$2:N$63)</f>
        <v>36</v>
      </c>
      <c r="P24" s="11" t="s">
        <v>129</v>
      </c>
      <c r="Q24" s="11" t="s">
        <v>130</v>
      </c>
    </row>
    <row r="25" customFormat="false" ht="22.35" hidden="false" customHeight="false" outlineLevel="0" collapsed="false">
      <c r="A25" s="12" t="s">
        <v>131</v>
      </c>
      <c r="B25" s="12" t="s">
        <v>132</v>
      </c>
      <c r="C25" s="12" t="s">
        <v>110</v>
      </c>
      <c r="D25" s="12" t="s">
        <v>111</v>
      </c>
      <c r="E25" s="13" t="n">
        <v>2</v>
      </c>
      <c r="F25" s="13" t="n">
        <v>1</v>
      </c>
      <c r="G25" s="13" t="n">
        <v>4</v>
      </c>
      <c r="H25" s="13" t="n">
        <v>2</v>
      </c>
      <c r="I25" s="13" t="n">
        <v>0</v>
      </c>
      <c r="J25" s="13" t="n">
        <v>2</v>
      </c>
      <c r="K25" s="13" t="n">
        <v>1</v>
      </c>
      <c r="L25" s="13" t="n">
        <v>1</v>
      </c>
      <c r="M25" s="13" t="n">
        <f aca="false">ROUND(E25*'Scoring Model'!$B$5+F25*'Scoring Model'!$B$6+G25*'Scoring Model'!$B$7+H25*'Scoring Model'!$B$8+I25*'Scoring Model'!$B$9+J25*'Scoring Model'!$B$10,2)</f>
        <v>1.94</v>
      </c>
      <c r="N25" s="14" t="n">
        <f aca="false">ROUND(M25*(1+0.05*L25)/SQRT(K25),2)</f>
        <v>2.04</v>
      </c>
      <c r="O25" s="13" t="n">
        <f aca="false">RANK(N25,N$2:N$63)</f>
        <v>40</v>
      </c>
      <c r="P25" s="15" t="s">
        <v>133</v>
      </c>
      <c r="Q25" s="15" t="s">
        <v>134</v>
      </c>
    </row>
    <row r="26" customFormat="false" ht="22.35" hidden="false" customHeight="false" outlineLevel="0" collapsed="false">
      <c r="A26" s="8" t="s">
        <v>135</v>
      </c>
      <c r="B26" s="8" t="s">
        <v>136</v>
      </c>
      <c r="C26" s="8" t="s">
        <v>110</v>
      </c>
      <c r="D26" s="8" t="s">
        <v>111</v>
      </c>
      <c r="E26" s="9" t="n">
        <v>3</v>
      </c>
      <c r="F26" s="9" t="n">
        <v>1</v>
      </c>
      <c r="G26" s="9" t="n">
        <v>5</v>
      </c>
      <c r="H26" s="9" t="n">
        <v>3</v>
      </c>
      <c r="I26" s="9" t="n">
        <v>3</v>
      </c>
      <c r="J26" s="9" t="n">
        <v>3</v>
      </c>
      <c r="K26" s="9" t="n">
        <v>1.5</v>
      </c>
      <c r="L26" s="9" t="n">
        <v>1</v>
      </c>
      <c r="M26" s="9" t="n">
        <f aca="false">ROUND(E26*'Scoring Model'!$B$5+F26*'Scoring Model'!$B$6+G26*'Scoring Model'!$B$7+H26*'Scoring Model'!$B$8+I26*'Scoring Model'!$B$9+J26*'Scoring Model'!$B$10,2)</f>
        <v>3.08</v>
      </c>
      <c r="N26" s="10" t="n">
        <f aca="false">ROUND(M26*(1+0.05*L26)/SQRT(K26),2)</f>
        <v>2.64</v>
      </c>
      <c r="O26" s="9" t="n">
        <f aca="false">RANK(N26,N$2:N$63)</f>
        <v>21</v>
      </c>
      <c r="P26" s="11" t="s">
        <v>137</v>
      </c>
      <c r="Q26" s="11" t="s">
        <v>138</v>
      </c>
    </row>
    <row r="27" customFormat="false" ht="19.4" hidden="false" customHeight="false" outlineLevel="0" collapsed="false">
      <c r="A27" s="12" t="s">
        <v>139</v>
      </c>
      <c r="B27" s="12" t="s">
        <v>140</v>
      </c>
      <c r="C27" s="12" t="s">
        <v>69</v>
      </c>
      <c r="D27" s="12" t="s">
        <v>111</v>
      </c>
      <c r="E27" s="13" t="n">
        <v>1</v>
      </c>
      <c r="F27" s="13" t="n">
        <v>0</v>
      </c>
      <c r="G27" s="13" t="n">
        <v>2</v>
      </c>
      <c r="H27" s="13" t="n">
        <v>5</v>
      </c>
      <c r="I27" s="13" t="n">
        <v>1</v>
      </c>
      <c r="J27" s="13" t="n">
        <v>3</v>
      </c>
      <c r="K27" s="13" t="n">
        <v>1.5</v>
      </c>
      <c r="L27" s="13" t="n">
        <v>1</v>
      </c>
      <c r="M27" s="13" t="n">
        <f aca="false">ROUND(E27*'Scoring Model'!$B$5+F27*'Scoring Model'!$B$6+G27*'Scoring Model'!$B$7+H27*'Scoring Model'!$B$8+I27*'Scoring Model'!$B$9+J27*'Scoring Model'!$B$10,2)</f>
        <v>1.82</v>
      </c>
      <c r="N27" s="14" t="n">
        <f aca="false">ROUND(M27*(1+0.05*L27)/SQRT(K27),2)</f>
        <v>1.56</v>
      </c>
      <c r="O27" s="13" t="n">
        <f aca="false">RANK(N27,N$2:N$63)</f>
        <v>48</v>
      </c>
      <c r="P27" s="15" t="s">
        <v>141</v>
      </c>
      <c r="Q27" s="15" t="s">
        <v>142</v>
      </c>
    </row>
    <row r="28" customFormat="false" ht="22.35" hidden="false" customHeight="false" outlineLevel="0" collapsed="false">
      <c r="A28" s="8" t="s">
        <v>143</v>
      </c>
      <c r="B28" s="8" t="s">
        <v>144</v>
      </c>
      <c r="C28" s="8" t="s">
        <v>69</v>
      </c>
      <c r="D28" s="8" t="s">
        <v>111</v>
      </c>
      <c r="E28" s="9" t="n">
        <v>1</v>
      </c>
      <c r="F28" s="9" t="n">
        <v>1</v>
      </c>
      <c r="G28" s="9" t="n">
        <v>1</v>
      </c>
      <c r="H28" s="9" t="n">
        <v>4</v>
      </c>
      <c r="I28" s="9" t="n">
        <v>2</v>
      </c>
      <c r="J28" s="9" t="n">
        <v>4</v>
      </c>
      <c r="K28" s="9" t="n">
        <v>1</v>
      </c>
      <c r="L28" s="9" t="n">
        <v>1</v>
      </c>
      <c r="M28" s="9" t="n">
        <f aca="false">ROUND(E28*'Scoring Model'!$B$5+F28*'Scoring Model'!$B$6+G28*'Scoring Model'!$B$7+H28*'Scoring Model'!$B$8+I28*'Scoring Model'!$B$9+J28*'Scoring Model'!$B$10,2)</f>
        <v>1.96</v>
      </c>
      <c r="N28" s="10" t="n">
        <f aca="false">ROUND(M28*(1+0.05*L28)/SQRT(K28),2)</f>
        <v>2.06</v>
      </c>
      <c r="O28" s="9" t="n">
        <f aca="false">RANK(N28,N$2:N$63)</f>
        <v>37</v>
      </c>
      <c r="P28" s="11" t="s">
        <v>141</v>
      </c>
      <c r="Q28" s="11" t="s">
        <v>145</v>
      </c>
    </row>
    <row r="29" customFormat="false" ht="22.35" hidden="false" customHeight="false" outlineLevel="0" collapsed="false">
      <c r="A29" s="12" t="s">
        <v>146</v>
      </c>
      <c r="B29" s="12" t="s">
        <v>147</v>
      </c>
      <c r="C29" s="12" t="s">
        <v>148</v>
      </c>
      <c r="D29" s="12" t="s">
        <v>149</v>
      </c>
      <c r="E29" s="13" t="n">
        <v>3</v>
      </c>
      <c r="F29" s="13" t="n">
        <v>1</v>
      </c>
      <c r="G29" s="13" t="n">
        <v>3</v>
      </c>
      <c r="H29" s="13" t="n">
        <v>4</v>
      </c>
      <c r="I29" s="13" t="n">
        <v>3</v>
      </c>
      <c r="J29" s="13" t="n">
        <v>2</v>
      </c>
      <c r="K29" s="13" t="n">
        <v>1</v>
      </c>
      <c r="L29" s="13" t="n">
        <v>0</v>
      </c>
      <c r="M29" s="13" t="n">
        <f aca="false">ROUND(E29*'Scoring Model'!$B$5+F29*'Scoring Model'!$B$6+G29*'Scoring Model'!$B$7+H29*'Scoring Model'!$B$8+I29*'Scoring Model'!$B$9+J29*'Scoring Model'!$B$10,2)</f>
        <v>2.65</v>
      </c>
      <c r="N29" s="14" t="n">
        <f aca="false">ROUND(M29*(1+0.05*L29)/SQRT(K29),2)</f>
        <v>2.65</v>
      </c>
      <c r="O29" s="13" t="n">
        <f aca="false">RANK(N29,N$2:N$63)</f>
        <v>20</v>
      </c>
      <c r="P29" s="15" t="s">
        <v>150</v>
      </c>
      <c r="Q29" s="15" t="s">
        <v>151</v>
      </c>
    </row>
    <row r="30" customFormat="false" ht="22.35" hidden="false" customHeight="false" outlineLevel="0" collapsed="false">
      <c r="A30" s="8" t="s">
        <v>152</v>
      </c>
      <c r="B30" s="8" t="s">
        <v>153</v>
      </c>
      <c r="C30" s="8" t="s">
        <v>148</v>
      </c>
      <c r="D30" s="8" t="s">
        <v>149</v>
      </c>
      <c r="E30" s="9" t="n">
        <v>3</v>
      </c>
      <c r="F30" s="9" t="n">
        <v>3.5</v>
      </c>
      <c r="G30" s="9" t="n">
        <v>3</v>
      </c>
      <c r="H30" s="9" t="n">
        <v>2.5</v>
      </c>
      <c r="I30" s="9" t="n">
        <v>1</v>
      </c>
      <c r="J30" s="9" t="n">
        <v>3.5</v>
      </c>
      <c r="K30" s="9" t="n">
        <v>1</v>
      </c>
      <c r="L30" s="9" t="n">
        <v>2</v>
      </c>
      <c r="M30" s="9" t="n">
        <f aca="false">ROUND(E30*'Scoring Model'!$B$5+F30*'Scoring Model'!$B$6+G30*'Scoring Model'!$B$7+H30*'Scoring Model'!$B$8+I30*'Scoring Model'!$B$9+J30*'Scoring Model'!$B$10,2)</f>
        <v>2.8</v>
      </c>
      <c r="N30" s="10" t="n">
        <f aca="false">ROUND(M30*(1+0.05*L30)/SQRT(K30),2)</f>
        <v>3.08</v>
      </c>
      <c r="O30" s="9" t="n">
        <f aca="false">RANK(N30,N$2:N$63)</f>
        <v>14</v>
      </c>
      <c r="P30" s="11" t="s">
        <v>154</v>
      </c>
      <c r="Q30" s="11" t="s">
        <v>155</v>
      </c>
    </row>
    <row r="31" customFormat="false" ht="22.35" hidden="false" customHeight="false" outlineLevel="0" collapsed="false">
      <c r="A31" s="12" t="s">
        <v>156</v>
      </c>
      <c r="B31" s="12" t="s">
        <v>157</v>
      </c>
      <c r="C31" s="12" t="s">
        <v>148</v>
      </c>
      <c r="D31" s="12" t="s">
        <v>149</v>
      </c>
      <c r="E31" s="13" t="n">
        <v>3</v>
      </c>
      <c r="F31" s="13" t="n">
        <v>4</v>
      </c>
      <c r="G31" s="13" t="n">
        <v>3.5</v>
      </c>
      <c r="H31" s="13" t="n">
        <v>3.5</v>
      </c>
      <c r="I31" s="13" t="n">
        <v>2</v>
      </c>
      <c r="J31" s="13" t="n">
        <v>5</v>
      </c>
      <c r="K31" s="13" t="n">
        <v>2.2</v>
      </c>
      <c r="L31" s="13" t="n">
        <v>2</v>
      </c>
      <c r="M31" s="13" t="n">
        <f aca="false">ROUND(E31*'Scoring Model'!$B$5+F31*'Scoring Model'!$B$6+G31*'Scoring Model'!$B$7+H31*'Scoring Model'!$B$8+I31*'Scoring Model'!$B$9+J31*'Scoring Model'!$B$10,2)</f>
        <v>3.47</v>
      </c>
      <c r="N31" s="14" t="n">
        <f aca="false">ROUND(M31*(1+0.05*L31)/SQRT(K31),2)</f>
        <v>2.57</v>
      </c>
      <c r="O31" s="13" t="n">
        <f aca="false">RANK(N31,N$2:N$63)</f>
        <v>23</v>
      </c>
      <c r="P31" s="15" t="s">
        <v>158</v>
      </c>
      <c r="Q31" s="15" t="s">
        <v>159</v>
      </c>
    </row>
    <row r="32" customFormat="false" ht="22.35" hidden="false" customHeight="false" outlineLevel="0" collapsed="false">
      <c r="A32" s="8" t="s">
        <v>160</v>
      </c>
      <c r="B32" s="8" t="s">
        <v>161</v>
      </c>
      <c r="C32" s="8" t="s">
        <v>148</v>
      </c>
      <c r="D32" s="8" t="s">
        <v>149</v>
      </c>
      <c r="E32" s="9" t="n">
        <v>3</v>
      </c>
      <c r="F32" s="9" t="n">
        <v>3</v>
      </c>
      <c r="G32" s="9" t="n">
        <v>2</v>
      </c>
      <c r="H32" s="9" t="n">
        <v>4</v>
      </c>
      <c r="I32" s="9" t="n">
        <v>2</v>
      </c>
      <c r="J32" s="9" t="n">
        <v>4</v>
      </c>
      <c r="K32" s="9" t="n">
        <v>0.5</v>
      </c>
      <c r="L32" s="9" t="n">
        <v>1</v>
      </c>
      <c r="M32" s="9" t="n">
        <f aca="false">ROUND(E32*'Scoring Model'!$B$5+F32*'Scoring Model'!$B$6+G32*'Scoring Model'!$B$7+H32*'Scoring Model'!$B$8+I32*'Scoring Model'!$B$9+J32*'Scoring Model'!$B$10,2)</f>
        <v>2.92</v>
      </c>
      <c r="N32" s="10" t="n">
        <f aca="false">ROUND(M32*(1+0.05*L32)/SQRT(K32),2)</f>
        <v>4.34</v>
      </c>
      <c r="O32" s="9" t="n">
        <f aca="false">RANK(N32,N$2:N$63)</f>
        <v>4</v>
      </c>
      <c r="P32" s="11" t="s">
        <v>162</v>
      </c>
      <c r="Q32" s="11" t="s">
        <v>163</v>
      </c>
    </row>
    <row r="33" customFormat="false" ht="28.35" hidden="false" customHeight="false" outlineLevel="0" collapsed="false">
      <c r="A33" s="12" t="s">
        <v>164</v>
      </c>
      <c r="B33" s="12" t="s">
        <v>165</v>
      </c>
      <c r="C33" s="12" t="s">
        <v>148</v>
      </c>
      <c r="D33" s="12" t="s">
        <v>149</v>
      </c>
      <c r="E33" s="13" t="n">
        <v>2.5</v>
      </c>
      <c r="F33" s="13" t="n">
        <v>5</v>
      </c>
      <c r="G33" s="13" t="n">
        <v>3</v>
      </c>
      <c r="H33" s="13" t="n">
        <v>3</v>
      </c>
      <c r="I33" s="13" t="n">
        <v>4</v>
      </c>
      <c r="J33" s="13" t="n">
        <v>4</v>
      </c>
      <c r="K33" s="13" t="n">
        <v>1.25</v>
      </c>
      <c r="L33" s="13" t="n">
        <v>2</v>
      </c>
      <c r="M33" s="13" t="n">
        <f aca="false">ROUND(E33*'Scoring Model'!$B$5+F33*'Scoring Model'!$B$6+G33*'Scoring Model'!$B$7+H33*'Scoring Model'!$B$8+I33*'Scoring Model'!$B$9+J33*'Scoring Model'!$B$10,2)</f>
        <v>3.51</v>
      </c>
      <c r="N33" s="14" t="n">
        <f aca="false">ROUND(M33*(1+0.05*L33)/SQRT(K33),2)</f>
        <v>3.45</v>
      </c>
      <c r="O33" s="13" t="n">
        <f aca="false">RANK(N33,N$2:N$63)</f>
        <v>7</v>
      </c>
      <c r="P33" s="15" t="s">
        <v>166</v>
      </c>
      <c r="Q33" s="15" t="s">
        <v>167</v>
      </c>
    </row>
    <row r="34" customFormat="false" ht="22.35" hidden="false" customHeight="false" outlineLevel="0" collapsed="false">
      <c r="A34" s="8" t="s">
        <v>168</v>
      </c>
      <c r="B34" s="8" t="s">
        <v>169</v>
      </c>
      <c r="C34" s="8" t="s">
        <v>148</v>
      </c>
      <c r="D34" s="8" t="s">
        <v>149</v>
      </c>
      <c r="E34" s="9" t="n">
        <v>2</v>
      </c>
      <c r="F34" s="9" t="n">
        <v>4</v>
      </c>
      <c r="G34" s="9" t="n">
        <v>2</v>
      </c>
      <c r="H34" s="9" t="n">
        <v>4</v>
      </c>
      <c r="I34" s="9" t="n">
        <v>2</v>
      </c>
      <c r="J34" s="9" t="n">
        <v>3</v>
      </c>
      <c r="K34" s="9" t="n">
        <v>0.5</v>
      </c>
      <c r="L34" s="9" t="n">
        <v>1</v>
      </c>
      <c r="M34" s="9" t="n">
        <f aca="false">ROUND(E34*'Scoring Model'!$B$5+F34*'Scoring Model'!$B$6+G34*'Scoring Model'!$B$7+H34*'Scoring Model'!$B$8+I34*'Scoring Model'!$B$9+J34*'Scoring Model'!$B$10,2)</f>
        <v>2.71</v>
      </c>
      <c r="N34" s="10" t="n">
        <f aca="false">ROUND(M34*(1+0.05*L34)/SQRT(K34),2)</f>
        <v>4.02</v>
      </c>
      <c r="O34" s="9" t="n">
        <f aca="false">RANK(N34,N$2:N$63)</f>
        <v>6</v>
      </c>
      <c r="P34" s="11" t="s">
        <v>170</v>
      </c>
      <c r="Q34" s="11" t="s">
        <v>171</v>
      </c>
    </row>
    <row r="35" customFormat="false" ht="22.35" hidden="false" customHeight="false" outlineLevel="0" collapsed="false">
      <c r="A35" s="12" t="s">
        <v>172</v>
      </c>
      <c r="B35" s="12" t="s">
        <v>173</v>
      </c>
      <c r="C35" s="12" t="s">
        <v>148</v>
      </c>
      <c r="D35" s="12" t="s">
        <v>149</v>
      </c>
      <c r="E35" s="13" t="n">
        <v>4</v>
      </c>
      <c r="F35" s="13" t="n">
        <v>5</v>
      </c>
      <c r="G35" s="13" t="n">
        <v>3</v>
      </c>
      <c r="H35" s="13" t="n">
        <v>4</v>
      </c>
      <c r="I35" s="13" t="n">
        <v>3</v>
      </c>
      <c r="J35" s="13" t="n">
        <v>3</v>
      </c>
      <c r="K35" s="13" t="n">
        <v>2</v>
      </c>
      <c r="L35" s="13" t="n">
        <v>1</v>
      </c>
      <c r="M35" s="13" t="n">
        <f aca="false">ROUND(E35*'Scoring Model'!$B$5+F35*'Scoring Model'!$B$6+G35*'Scoring Model'!$B$7+H35*'Scoring Model'!$B$8+I35*'Scoring Model'!$B$9+J35*'Scoring Model'!$B$10,2)</f>
        <v>3.66</v>
      </c>
      <c r="N35" s="14" t="n">
        <f aca="false">ROUND(M35*(1+0.05*L35)/SQRT(K35),2)</f>
        <v>2.72</v>
      </c>
      <c r="O35" s="13" t="n">
        <f aca="false">RANK(N35,N$2:N$63)</f>
        <v>19</v>
      </c>
      <c r="P35" s="15" t="s">
        <v>174</v>
      </c>
      <c r="Q35" s="15" t="s">
        <v>175</v>
      </c>
    </row>
    <row r="36" customFormat="false" ht="22.35" hidden="false" customHeight="false" outlineLevel="0" collapsed="false">
      <c r="A36" s="8" t="s">
        <v>176</v>
      </c>
      <c r="B36" s="8" t="s">
        <v>177</v>
      </c>
      <c r="C36" s="8" t="s">
        <v>148</v>
      </c>
      <c r="D36" s="8" t="s">
        <v>149</v>
      </c>
      <c r="E36" s="9" t="n">
        <v>2</v>
      </c>
      <c r="F36" s="9" t="n">
        <v>2</v>
      </c>
      <c r="G36" s="9" t="n">
        <v>2</v>
      </c>
      <c r="H36" s="9" t="n">
        <v>1</v>
      </c>
      <c r="I36" s="9" t="n">
        <v>1</v>
      </c>
      <c r="J36" s="9" t="n">
        <v>5</v>
      </c>
      <c r="K36" s="9" t="n">
        <v>1.5</v>
      </c>
      <c r="L36" s="9" t="n">
        <v>1</v>
      </c>
      <c r="M36" s="9" t="n">
        <f aca="false">ROUND(E36*'Scoring Model'!$B$5+F36*'Scoring Model'!$B$6+G36*'Scoring Model'!$B$7+H36*'Scoring Model'!$B$8+I36*'Scoring Model'!$B$9+J36*'Scoring Model'!$B$10,2)</f>
        <v>2.18</v>
      </c>
      <c r="N36" s="10" t="n">
        <f aca="false">ROUND(M36*(1+0.05*L36)/SQRT(K36),2)</f>
        <v>1.87</v>
      </c>
      <c r="O36" s="9" t="n">
        <f aca="false">RANK(N36,N$2:N$63)</f>
        <v>42</v>
      </c>
      <c r="P36" s="11" t="s">
        <v>178</v>
      </c>
      <c r="Q36" s="11" t="s">
        <v>179</v>
      </c>
    </row>
    <row r="37" customFormat="false" ht="22.35" hidden="false" customHeight="false" outlineLevel="0" collapsed="false">
      <c r="A37" s="12" t="s">
        <v>180</v>
      </c>
      <c r="B37" s="12" t="s">
        <v>181</v>
      </c>
      <c r="C37" s="12" t="s">
        <v>110</v>
      </c>
      <c r="D37" s="12" t="s">
        <v>149</v>
      </c>
      <c r="E37" s="13" t="n">
        <v>2</v>
      </c>
      <c r="F37" s="13" t="n">
        <v>2</v>
      </c>
      <c r="G37" s="13" t="n">
        <v>4</v>
      </c>
      <c r="H37" s="13" t="n">
        <v>3</v>
      </c>
      <c r="I37" s="13" t="n">
        <v>2</v>
      </c>
      <c r="J37" s="13" t="n">
        <v>3</v>
      </c>
      <c r="K37" s="13" t="n">
        <v>1</v>
      </c>
      <c r="L37" s="13" t="n">
        <v>1</v>
      </c>
      <c r="M37" s="13" t="n">
        <f aca="false">ROUND(E37*'Scoring Model'!$B$5+F37*'Scoring Model'!$B$6+G37*'Scoring Model'!$B$7+H37*'Scoring Model'!$B$8+I37*'Scoring Model'!$B$9+J37*'Scoring Model'!$B$10,2)</f>
        <v>2.67</v>
      </c>
      <c r="N37" s="14" t="n">
        <f aca="false">ROUND(M37*(1+0.05*L37)/SQRT(K37),2)</f>
        <v>2.8</v>
      </c>
      <c r="O37" s="13" t="n">
        <f aca="false">RANK(N37,N$2:N$63)</f>
        <v>17</v>
      </c>
      <c r="P37" s="15" t="s">
        <v>182</v>
      </c>
      <c r="Q37" s="15" t="s">
        <v>183</v>
      </c>
    </row>
    <row r="38" customFormat="false" ht="19.4" hidden="false" customHeight="false" outlineLevel="0" collapsed="false">
      <c r="A38" s="8" t="s">
        <v>184</v>
      </c>
      <c r="B38" s="8" t="s">
        <v>185</v>
      </c>
      <c r="C38" s="8" t="s">
        <v>186</v>
      </c>
      <c r="D38" s="8" t="s">
        <v>187</v>
      </c>
      <c r="E38" s="9" t="n">
        <v>3.3</v>
      </c>
      <c r="F38" s="9" t="n">
        <v>4.7</v>
      </c>
      <c r="G38" s="9" t="n">
        <v>4.3</v>
      </c>
      <c r="H38" s="9" t="n">
        <v>3</v>
      </c>
      <c r="I38" s="9" t="n">
        <v>2.7</v>
      </c>
      <c r="J38" s="9" t="n">
        <v>3</v>
      </c>
      <c r="K38" s="9" t="n">
        <v>2.7</v>
      </c>
      <c r="L38" s="9" t="n">
        <v>3</v>
      </c>
      <c r="M38" s="9" t="n">
        <f aca="false">ROUND(E38*'Scoring Model'!$B$5+F38*'Scoring Model'!$B$6+G38*'Scoring Model'!$B$7+H38*'Scoring Model'!$B$8+I38*'Scoring Model'!$B$9+J38*'Scoring Model'!$B$10,2)</f>
        <v>3.55</v>
      </c>
      <c r="N38" s="10" t="n">
        <f aca="false">ROUND(M38*(1+0.05*L38)/SQRT(K38),2)</f>
        <v>2.48</v>
      </c>
      <c r="O38" s="9" t="n">
        <f aca="false">RANK(N38,N$2:N$63)</f>
        <v>27</v>
      </c>
      <c r="P38" s="11" t="s">
        <v>188</v>
      </c>
      <c r="Q38" s="11" t="s">
        <v>189</v>
      </c>
    </row>
    <row r="39" customFormat="false" ht="19.4" hidden="false" customHeight="false" outlineLevel="0" collapsed="false">
      <c r="A39" s="12" t="s">
        <v>190</v>
      </c>
      <c r="B39" s="12" t="s">
        <v>191</v>
      </c>
      <c r="C39" s="12" t="s">
        <v>186</v>
      </c>
      <c r="D39" s="12" t="s">
        <v>187</v>
      </c>
      <c r="E39" s="13" t="n">
        <v>3</v>
      </c>
      <c r="F39" s="13" t="n">
        <v>3</v>
      </c>
      <c r="G39" s="13" t="n">
        <v>3</v>
      </c>
      <c r="H39" s="13" t="n">
        <v>3</v>
      </c>
      <c r="I39" s="13" t="n">
        <v>4</v>
      </c>
      <c r="J39" s="13" t="n">
        <v>3</v>
      </c>
      <c r="K39" s="13" t="n">
        <v>1.5</v>
      </c>
      <c r="L39" s="13" t="n">
        <v>0</v>
      </c>
      <c r="M39" s="13" t="n">
        <f aca="false">ROUND(E39*'Scoring Model'!$B$5+F39*'Scoring Model'!$B$6+G39*'Scoring Model'!$B$7+H39*'Scoring Model'!$B$8+I39*'Scoring Model'!$B$9+J39*'Scoring Model'!$B$10,2)</f>
        <v>3.15</v>
      </c>
      <c r="N39" s="14" t="n">
        <f aca="false">ROUND(M39*(1+0.05*L39)/SQRT(K39),2)</f>
        <v>2.57</v>
      </c>
      <c r="O39" s="13" t="n">
        <f aca="false">RANK(N39,N$2:N$63)</f>
        <v>23</v>
      </c>
      <c r="P39" s="15" t="s">
        <v>192</v>
      </c>
      <c r="Q39" s="15" t="s">
        <v>193</v>
      </c>
    </row>
    <row r="40" customFormat="false" ht="22.35" hidden="false" customHeight="false" outlineLevel="0" collapsed="false">
      <c r="A40" s="8" t="s">
        <v>194</v>
      </c>
      <c r="B40" s="8" t="s">
        <v>195</v>
      </c>
      <c r="C40" s="8" t="s">
        <v>186</v>
      </c>
      <c r="D40" s="8" t="s">
        <v>187</v>
      </c>
      <c r="E40" s="9" t="n">
        <v>4</v>
      </c>
      <c r="F40" s="9" t="n">
        <v>4</v>
      </c>
      <c r="G40" s="9" t="n">
        <v>4</v>
      </c>
      <c r="H40" s="9" t="n">
        <v>4</v>
      </c>
      <c r="I40" s="9" t="n">
        <v>5</v>
      </c>
      <c r="J40" s="9" t="n">
        <v>4</v>
      </c>
      <c r="K40" s="9" t="n">
        <v>3</v>
      </c>
      <c r="L40" s="9" t="n">
        <v>1</v>
      </c>
      <c r="M40" s="9" t="n">
        <f aca="false">ROUND(E40*'Scoring Model'!$B$5+F40*'Scoring Model'!$B$6+G40*'Scoring Model'!$B$7+H40*'Scoring Model'!$B$8+I40*'Scoring Model'!$B$9+J40*'Scoring Model'!$B$10,2)</f>
        <v>4.15</v>
      </c>
      <c r="N40" s="10" t="n">
        <f aca="false">ROUND(M40*(1+0.05*L40)/SQRT(K40),2)</f>
        <v>2.52</v>
      </c>
      <c r="O40" s="9" t="n">
        <f aca="false">RANK(N40,N$2:N$63)</f>
        <v>26</v>
      </c>
      <c r="P40" s="11" t="s">
        <v>196</v>
      </c>
      <c r="Q40" s="11" t="s">
        <v>197</v>
      </c>
    </row>
    <row r="41" customFormat="false" ht="19.4" hidden="false" customHeight="false" outlineLevel="0" collapsed="false">
      <c r="A41" s="12" t="s">
        <v>198</v>
      </c>
      <c r="B41" s="12" t="s">
        <v>199</v>
      </c>
      <c r="C41" s="12" t="s">
        <v>186</v>
      </c>
      <c r="D41" s="12" t="s">
        <v>187</v>
      </c>
      <c r="E41" s="13" t="n">
        <v>3</v>
      </c>
      <c r="F41" s="13" t="n">
        <v>2</v>
      </c>
      <c r="G41" s="13" t="n">
        <v>2</v>
      </c>
      <c r="H41" s="13" t="n">
        <v>5</v>
      </c>
      <c r="I41" s="13" t="n">
        <v>3</v>
      </c>
      <c r="J41" s="13" t="n">
        <v>5</v>
      </c>
      <c r="K41" s="13" t="n">
        <v>3</v>
      </c>
      <c r="L41" s="13" t="n">
        <v>0</v>
      </c>
      <c r="M41" s="13" t="n">
        <f aca="false">ROUND(E41*'Scoring Model'!$B$5+F41*'Scoring Model'!$B$6+G41*'Scoring Model'!$B$7+H41*'Scoring Model'!$B$8+I41*'Scoring Model'!$B$9+J41*'Scoring Model'!$B$10,2)</f>
        <v>3.18</v>
      </c>
      <c r="N41" s="14" t="n">
        <f aca="false">ROUND(M41*(1+0.05*L41)/SQRT(K41),2)</f>
        <v>1.84</v>
      </c>
      <c r="O41" s="13" t="n">
        <f aca="false">RANK(N41,N$2:N$63)</f>
        <v>43</v>
      </c>
      <c r="P41" s="15" t="s">
        <v>200</v>
      </c>
      <c r="Q41" s="15" t="s">
        <v>201</v>
      </c>
    </row>
    <row r="42" customFormat="false" ht="19.4" hidden="false" customHeight="false" outlineLevel="0" collapsed="false">
      <c r="A42" s="8" t="s">
        <v>202</v>
      </c>
      <c r="B42" s="8" t="s">
        <v>203</v>
      </c>
      <c r="C42" s="8" t="s">
        <v>186</v>
      </c>
      <c r="D42" s="8" t="s">
        <v>187</v>
      </c>
      <c r="E42" s="9" t="n">
        <v>3</v>
      </c>
      <c r="F42" s="9" t="n">
        <v>1</v>
      </c>
      <c r="G42" s="9" t="n">
        <v>4</v>
      </c>
      <c r="H42" s="9" t="n">
        <v>5</v>
      </c>
      <c r="I42" s="9" t="n">
        <v>5</v>
      </c>
      <c r="J42" s="9" t="n">
        <v>4</v>
      </c>
      <c r="K42" s="9" t="n">
        <v>3</v>
      </c>
      <c r="L42" s="9" t="n">
        <v>1</v>
      </c>
      <c r="M42" s="9" t="n">
        <f aca="false">ROUND(E42*'Scoring Model'!$B$5+F42*'Scoring Model'!$B$6+G42*'Scoring Model'!$B$7+H42*'Scoring Model'!$B$8+I42*'Scoring Model'!$B$9+J42*'Scoring Model'!$B$10,2)</f>
        <v>3.57</v>
      </c>
      <c r="N42" s="10" t="n">
        <f aca="false">ROUND(M42*(1+0.05*L42)/SQRT(K42),2)</f>
        <v>2.16</v>
      </c>
      <c r="O42" s="9" t="n">
        <f aca="false">RANK(N42,N$2:N$63)</f>
        <v>33</v>
      </c>
      <c r="P42" s="11" t="s">
        <v>204</v>
      </c>
      <c r="Q42" s="11" t="s">
        <v>205</v>
      </c>
    </row>
    <row r="43" customFormat="false" ht="22.35" hidden="false" customHeight="false" outlineLevel="0" collapsed="false">
      <c r="A43" s="12" t="s">
        <v>206</v>
      </c>
      <c r="B43" s="12" t="s">
        <v>207</v>
      </c>
      <c r="C43" s="12" t="s">
        <v>110</v>
      </c>
      <c r="D43" s="12" t="s">
        <v>187</v>
      </c>
      <c r="E43" s="13" t="n">
        <v>2</v>
      </c>
      <c r="F43" s="13" t="n">
        <v>0</v>
      </c>
      <c r="G43" s="13" t="n">
        <v>3</v>
      </c>
      <c r="H43" s="13" t="n">
        <v>2</v>
      </c>
      <c r="I43" s="13" t="n">
        <v>1</v>
      </c>
      <c r="J43" s="13" t="n">
        <v>2</v>
      </c>
      <c r="K43" s="13" t="n">
        <v>1</v>
      </c>
      <c r="L43" s="13" t="n">
        <v>0</v>
      </c>
      <c r="M43" s="13" t="n">
        <f aca="false">ROUND(E43*'Scoring Model'!$B$5+F43*'Scoring Model'!$B$6+G43*'Scoring Model'!$B$7+H43*'Scoring Model'!$B$8+I43*'Scoring Model'!$B$9+J43*'Scoring Model'!$B$10,2)</f>
        <v>1.73</v>
      </c>
      <c r="N43" s="14" t="n">
        <f aca="false">ROUND(M43*(1+0.05*L43)/SQRT(K43),2)</f>
        <v>1.73</v>
      </c>
      <c r="O43" s="13" t="n">
        <f aca="false">RANK(N43,N$2:N$63)</f>
        <v>46</v>
      </c>
      <c r="P43" s="15" t="s">
        <v>208</v>
      </c>
      <c r="Q43" s="15" t="s">
        <v>209</v>
      </c>
    </row>
    <row r="44" customFormat="false" ht="22.35" hidden="false" customHeight="false" outlineLevel="0" collapsed="false">
      <c r="A44" s="8" t="s">
        <v>210</v>
      </c>
      <c r="B44" s="8" t="s">
        <v>211</v>
      </c>
      <c r="C44" s="8" t="s">
        <v>78</v>
      </c>
      <c r="D44" s="8" t="s">
        <v>187</v>
      </c>
      <c r="E44" s="9" t="n">
        <v>3</v>
      </c>
      <c r="F44" s="9" t="n">
        <v>5</v>
      </c>
      <c r="G44" s="9" t="n">
        <v>1</v>
      </c>
      <c r="H44" s="9" t="n">
        <v>2</v>
      </c>
      <c r="I44" s="9" t="n">
        <v>2</v>
      </c>
      <c r="J44" s="9" t="n">
        <v>2</v>
      </c>
      <c r="K44" s="9" t="n">
        <v>1.5</v>
      </c>
      <c r="L44" s="9" t="n">
        <v>1</v>
      </c>
      <c r="M44" s="9" t="n">
        <f aca="false">ROUND(E44*'Scoring Model'!$B$5+F44*'Scoring Model'!$B$6+G44*'Scoring Model'!$B$7+H44*'Scoring Model'!$B$8+I44*'Scoring Model'!$B$9+J44*'Scoring Model'!$B$10,2)</f>
        <v>2.5</v>
      </c>
      <c r="N44" s="10" t="n">
        <f aca="false">ROUND(M44*(1+0.05*L44)/SQRT(K44),2)</f>
        <v>2.14</v>
      </c>
      <c r="O44" s="9" t="n">
        <f aca="false">RANK(N44,N$2:N$63)</f>
        <v>34</v>
      </c>
      <c r="P44" s="11" t="s">
        <v>212</v>
      </c>
      <c r="Q44" s="11" t="s">
        <v>213</v>
      </c>
    </row>
    <row r="45" customFormat="false" ht="22.35" hidden="false" customHeight="false" outlineLevel="0" collapsed="false">
      <c r="A45" s="12" t="s">
        <v>214</v>
      </c>
      <c r="B45" s="12" t="s">
        <v>215</v>
      </c>
      <c r="C45" s="12" t="s">
        <v>186</v>
      </c>
      <c r="D45" s="12" t="s">
        <v>187</v>
      </c>
      <c r="E45" s="13" t="n">
        <v>3</v>
      </c>
      <c r="F45" s="13" t="n">
        <v>0</v>
      </c>
      <c r="G45" s="13" t="n">
        <v>3</v>
      </c>
      <c r="H45" s="13" t="n">
        <v>5</v>
      </c>
      <c r="I45" s="13" t="n">
        <v>4</v>
      </c>
      <c r="J45" s="13" t="n">
        <v>2</v>
      </c>
      <c r="K45" s="13" t="n">
        <v>2</v>
      </c>
      <c r="L45" s="13" t="n">
        <v>1</v>
      </c>
      <c r="M45" s="13" t="n">
        <f aca="false">ROUND(E45*'Scoring Model'!$B$5+F45*'Scoring Model'!$B$6+G45*'Scoring Model'!$B$7+H45*'Scoring Model'!$B$8+I45*'Scoring Model'!$B$9+J45*'Scoring Model'!$B$10,2)</f>
        <v>2.76</v>
      </c>
      <c r="N45" s="14" t="n">
        <f aca="false">ROUND(M45*(1+0.05*L45)/SQRT(K45),2)</f>
        <v>2.05</v>
      </c>
      <c r="O45" s="13" t="n">
        <f aca="false">RANK(N45,N$2:N$63)</f>
        <v>38</v>
      </c>
      <c r="P45" s="15" t="s">
        <v>216</v>
      </c>
      <c r="Q45" s="15" t="s">
        <v>217</v>
      </c>
    </row>
    <row r="46" customFormat="false" ht="22.35" hidden="false" customHeight="false" outlineLevel="0" collapsed="false">
      <c r="A46" s="8" t="s">
        <v>218</v>
      </c>
      <c r="B46" s="8" t="s">
        <v>219</v>
      </c>
      <c r="C46" s="8" t="s">
        <v>186</v>
      </c>
      <c r="D46" s="8" t="s">
        <v>187</v>
      </c>
      <c r="E46" s="9" t="n">
        <v>3</v>
      </c>
      <c r="F46" s="9" t="n">
        <v>1</v>
      </c>
      <c r="G46" s="9" t="n">
        <v>4</v>
      </c>
      <c r="H46" s="9" t="n">
        <v>5</v>
      </c>
      <c r="I46" s="9" t="n">
        <v>4</v>
      </c>
      <c r="J46" s="9" t="n">
        <v>3</v>
      </c>
      <c r="K46" s="9" t="n">
        <v>2</v>
      </c>
      <c r="L46" s="9" t="n">
        <v>1</v>
      </c>
      <c r="M46" s="9" t="n">
        <f aca="false">ROUND(E46*'Scoring Model'!$B$5+F46*'Scoring Model'!$B$6+G46*'Scoring Model'!$B$7+H46*'Scoring Model'!$B$8+I46*'Scoring Model'!$B$9+J46*'Scoring Model'!$B$10,2)</f>
        <v>3.27</v>
      </c>
      <c r="N46" s="10" t="n">
        <f aca="false">ROUND(M46*(1+0.05*L46)/SQRT(K46),2)</f>
        <v>2.43</v>
      </c>
      <c r="O46" s="9" t="n">
        <f aca="false">RANK(N46,N$2:N$63)</f>
        <v>28</v>
      </c>
      <c r="P46" s="11" t="s">
        <v>141</v>
      </c>
      <c r="Q46" s="11" t="s">
        <v>220</v>
      </c>
    </row>
    <row r="47" customFormat="false" ht="22.35" hidden="false" customHeight="false" outlineLevel="0" collapsed="false">
      <c r="A47" s="12" t="s">
        <v>221</v>
      </c>
      <c r="B47" s="12" t="s">
        <v>222</v>
      </c>
      <c r="C47" s="12" t="s">
        <v>223</v>
      </c>
      <c r="D47" s="12" t="s">
        <v>224</v>
      </c>
      <c r="E47" s="13" t="n">
        <v>3</v>
      </c>
      <c r="F47" s="13" t="n">
        <v>3</v>
      </c>
      <c r="G47" s="13" t="n">
        <v>3</v>
      </c>
      <c r="H47" s="13" t="n">
        <v>3</v>
      </c>
      <c r="I47" s="13" t="n">
        <v>3</v>
      </c>
      <c r="J47" s="13" t="n">
        <v>5</v>
      </c>
      <c r="K47" s="13" t="n">
        <v>2.5</v>
      </c>
      <c r="L47" s="13" t="n">
        <v>1</v>
      </c>
      <c r="M47" s="13" t="n">
        <f aca="false">ROUND(E47*'Scoring Model'!$B$5+F47*'Scoring Model'!$B$6+G47*'Scoring Model'!$B$7+H47*'Scoring Model'!$B$8+I47*'Scoring Model'!$B$9+J47*'Scoring Model'!$B$10,2)</f>
        <v>3.3</v>
      </c>
      <c r="N47" s="14" t="n">
        <f aca="false">ROUND(M47*(1+0.05*L47)/SQRT(K47),2)</f>
        <v>2.19</v>
      </c>
      <c r="O47" s="13" t="n">
        <f aca="false">RANK(N47,N$2:N$63)</f>
        <v>32</v>
      </c>
      <c r="P47" s="15" t="s">
        <v>225</v>
      </c>
      <c r="Q47" s="15" t="s">
        <v>226</v>
      </c>
    </row>
    <row r="48" customFormat="false" ht="19.4" hidden="false" customHeight="false" outlineLevel="0" collapsed="false">
      <c r="A48" s="8" t="s">
        <v>227</v>
      </c>
      <c r="B48" s="8" t="s">
        <v>228</v>
      </c>
      <c r="C48" s="8" t="s">
        <v>223</v>
      </c>
      <c r="D48" s="8" t="s">
        <v>224</v>
      </c>
      <c r="E48" s="9" t="n">
        <v>2</v>
      </c>
      <c r="F48" s="9" t="n">
        <v>2</v>
      </c>
      <c r="G48" s="9" t="n">
        <v>3</v>
      </c>
      <c r="H48" s="9" t="n">
        <v>2</v>
      </c>
      <c r="I48" s="9" t="n">
        <v>1</v>
      </c>
      <c r="J48" s="9" t="n">
        <v>5</v>
      </c>
      <c r="K48" s="9" t="n">
        <v>3</v>
      </c>
      <c r="L48" s="9" t="n">
        <v>0</v>
      </c>
      <c r="M48" s="9" t="n">
        <f aca="false">ROUND(E48*'Scoring Model'!$B$5+F48*'Scoring Model'!$B$6+G48*'Scoring Model'!$B$7+H48*'Scoring Model'!$B$8+I48*'Scoring Model'!$B$9+J48*'Scoring Model'!$B$10,2)</f>
        <v>2.5</v>
      </c>
      <c r="N48" s="10" t="n">
        <f aca="false">ROUND(M48*(1+0.05*L48)/SQRT(K48),2)</f>
        <v>1.44</v>
      </c>
      <c r="O48" s="9" t="n">
        <f aca="false">RANK(N48,N$2:N$63)</f>
        <v>52</v>
      </c>
      <c r="P48" s="11" t="s">
        <v>229</v>
      </c>
      <c r="Q48" s="11" t="s">
        <v>230</v>
      </c>
    </row>
    <row r="49" customFormat="false" ht="22.35" hidden="false" customHeight="false" outlineLevel="0" collapsed="false">
      <c r="A49" s="12" t="s">
        <v>231</v>
      </c>
      <c r="B49" s="12" t="s">
        <v>232</v>
      </c>
      <c r="C49" s="12" t="s">
        <v>223</v>
      </c>
      <c r="D49" s="12" t="s">
        <v>224</v>
      </c>
      <c r="E49" s="13" t="n">
        <v>2</v>
      </c>
      <c r="F49" s="13" t="n">
        <v>2</v>
      </c>
      <c r="G49" s="13" t="n">
        <v>4</v>
      </c>
      <c r="H49" s="13" t="n">
        <v>3</v>
      </c>
      <c r="I49" s="13" t="n">
        <v>4</v>
      </c>
      <c r="J49" s="13" t="n">
        <v>4</v>
      </c>
      <c r="K49" s="13" t="n">
        <v>4</v>
      </c>
      <c r="L49" s="13" t="n">
        <v>0</v>
      </c>
      <c r="M49" s="13" t="n">
        <f aca="false">ROUND(E49*'Scoring Model'!$B$5+F49*'Scoring Model'!$B$6+G49*'Scoring Model'!$B$7+H49*'Scoring Model'!$B$8+I49*'Scoring Model'!$B$9+J49*'Scoring Model'!$B$10,2)</f>
        <v>3.12</v>
      </c>
      <c r="N49" s="14" t="n">
        <f aca="false">ROUND(M49*(1+0.05*L49)/SQRT(K49),2)</f>
        <v>1.56</v>
      </c>
      <c r="O49" s="13" t="n">
        <f aca="false">RANK(N49,N$2:N$63)</f>
        <v>48</v>
      </c>
      <c r="P49" s="15" t="s">
        <v>233</v>
      </c>
      <c r="Q49" s="15" t="s">
        <v>234</v>
      </c>
    </row>
    <row r="50" customFormat="false" ht="19.4" hidden="false" customHeight="false" outlineLevel="0" collapsed="false">
      <c r="A50" s="8" t="s">
        <v>235</v>
      </c>
      <c r="B50" s="8" t="s">
        <v>236</v>
      </c>
      <c r="C50" s="8" t="s">
        <v>223</v>
      </c>
      <c r="D50" s="8" t="s">
        <v>224</v>
      </c>
      <c r="E50" s="9" t="n">
        <v>1</v>
      </c>
      <c r="F50" s="9" t="n">
        <v>1</v>
      </c>
      <c r="G50" s="9" t="n">
        <v>0</v>
      </c>
      <c r="H50" s="9" t="n">
        <v>2</v>
      </c>
      <c r="I50" s="9" t="n">
        <v>1</v>
      </c>
      <c r="J50" s="9" t="n">
        <v>4</v>
      </c>
      <c r="K50" s="9" t="n">
        <v>3</v>
      </c>
      <c r="L50" s="9" t="n">
        <v>0</v>
      </c>
      <c r="M50" s="9" t="n">
        <f aca="false">ROUND(E50*'Scoring Model'!$B$5+F50*'Scoring Model'!$B$6+G50*'Scoring Model'!$B$7+H50*'Scoring Model'!$B$8+I50*'Scoring Model'!$B$9+J50*'Scoring Model'!$B$10,2)</f>
        <v>1.37</v>
      </c>
      <c r="N50" s="10" t="n">
        <f aca="false">ROUND(M50*(1+0.05*L50)/SQRT(K50),2)</f>
        <v>0.79</v>
      </c>
      <c r="O50" s="9" t="n">
        <f aca="false">RANK(N50,N$2:N$63)</f>
        <v>62</v>
      </c>
      <c r="P50" s="11" t="s">
        <v>237</v>
      </c>
      <c r="Q50" s="11" t="s">
        <v>238</v>
      </c>
    </row>
    <row r="51" customFormat="false" ht="19.4" hidden="false" customHeight="false" outlineLevel="0" collapsed="false">
      <c r="A51" s="12" t="s">
        <v>239</v>
      </c>
      <c r="B51" s="12" t="s">
        <v>240</v>
      </c>
      <c r="C51" s="12" t="s">
        <v>223</v>
      </c>
      <c r="D51" s="12" t="s">
        <v>224</v>
      </c>
      <c r="E51" s="13" t="n">
        <v>2</v>
      </c>
      <c r="F51" s="13" t="n">
        <v>4</v>
      </c>
      <c r="G51" s="13" t="n">
        <v>2</v>
      </c>
      <c r="H51" s="13" t="n">
        <v>2</v>
      </c>
      <c r="I51" s="13" t="n">
        <v>3</v>
      </c>
      <c r="J51" s="13" t="n">
        <v>2</v>
      </c>
      <c r="K51" s="13" t="n">
        <v>2.5</v>
      </c>
      <c r="L51" s="13" t="n">
        <v>0</v>
      </c>
      <c r="M51" s="13" t="n">
        <f aca="false">ROUND(E51*'Scoring Model'!$B$5+F51*'Scoring Model'!$B$6+G51*'Scoring Model'!$B$7+H51*'Scoring Model'!$B$8+I51*'Scoring Model'!$B$9+J51*'Scoring Model'!$B$10,2)</f>
        <v>2.47</v>
      </c>
      <c r="N51" s="14" t="n">
        <f aca="false">ROUND(M51*(1+0.05*L51)/SQRT(K51),2)</f>
        <v>1.56</v>
      </c>
      <c r="O51" s="13" t="n">
        <f aca="false">RANK(N51,N$2:N$63)</f>
        <v>48</v>
      </c>
      <c r="P51" s="15" t="s">
        <v>241</v>
      </c>
      <c r="Q51" s="15" t="s">
        <v>242</v>
      </c>
    </row>
    <row r="52" customFormat="false" ht="19.4" hidden="false" customHeight="false" outlineLevel="0" collapsed="false">
      <c r="A52" s="8" t="s">
        <v>243</v>
      </c>
      <c r="B52" s="8" t="s">
        <v>244</v>
      </c>
      <c r="C52" s="8" t="s">
        <v>245</v>
      </c>
      <c r="D52" s="8" t="s">
        <v>246</v>
      </c>
      <c r="E52" s="9" t="n">
        <v>2</v>
      </c>
      <c r="F52" s="9" t="n">
        <v>2</v>
      </c>
      <c r="G52" s="9" t="n">
        <v>3</v>
      </c>
      <c r="H52" s="9" t="n">
        <v>4</v>
      </c>
      <c r="I52" s="9" t="n">
        <v>4</v>
      </c>
      <c r="J52" s="9" t="n">
        <v>4</v>
      </c>
      <c r="K52" s="9" t="n">
        <v>5</v>
      </c>
      <c r="L52" s="9" t="n">
        <v>0</v>
      </c>
      <c r="M52" s="9" t="n">
        <f aca="false">ROUND(E52*'Scoring Model'!$B$5+F52*'Scoring Model'!$B$6+G52*'Scoring Model'!$B$7+H52*'Scoring Model'!$B$8+I52*'Scoring Model'!$B$9+J52*'Scoring Model'!$B$10,2)</f>
        <v>3.04</v>
      </c>
      <c r="N52" s="10" t="n">
        <f aca="false">ROUND(M52*(1+0.05*L52)/SQRT(K52),2)</f>
        <v>1.36</v>
      </c>
      <c r="O52" s="9" t="n">
        <f aca="false">RANK(N52,N$2:N$63)</f>
        <v>55</v>
      </c>
      <c r="P52" s="11" t="s">
        <v>247</v>
      </c>
      <c r="Q52" s="11" t="s">
        <v>248</v>
      </c>
    </row>
    <row r="53" customFormat="false" ht="28.35" hidden="false" customHeight="false" outlineLevel="0" collapsed="false">
      <c r="A53" s="12" t="s">
        <v>249</v>
      </c>
      <c r="B53" s="12" t="s">
        <v>250</v>
      </c>
      <c r="C53" s="12" t="s">
        <v>245</v>
      </c>
      <c r="D53" s="12" t="s">
        <v>251</v>
      </c>
      <c r="E53" s="13" t="n">
        <v>2</v>
      </c>
      <c r="F53" s="13" t="n">
        <v>2</v>
      </c>
      <c r="G53" s="13" t="n">
        <v>3</v>
      </c>
      <c r="H53" s="13" t="n">
        <v>4</v>
      </c>
      <c r="I53" s="13" t="n">
        <v>4</v>
      </c>
      <c r="J53" s="13" t="n">
        <v>3</v>
      </c>
      <c r="K53" s="13" t="n">
        <v>5</v>
      </c>
      <c r="L53" s="13" t="n">
        <v>0</v>
      </c>
      <c r="M53" s="13" t="n">
        <f aca="false">ROUND(E53*'Scoring Model'!$B$5+F53*'Scoring Model'!$B$6+G53*'Scoring Model'!$B$7+H53*'Scoring Model'!$B$8+I53*'Scoring Model'!$B$9+J53*'Scoring Model'!$B$10,2)</f>
        <v>2.89</v>
      </c>
      <c r="N53" s="14" t="n">
        <f aca="false">ROUND(M53*(1+0.05*L53)/SQRT(K53),2)</f>
        <v>1.29</v>
      </c>
      <c r="O53" s="13" t="n">
        <f aca="false">RANK(N53,N$2:N$63)</f>
        <v>57</v>
      </c>
      <c r="P53" s="15" t="s">
        <v>252</v>
      </c>
      <c r="Q53" s="15" t="s">
        <v>253</v>
      </c>
    </row>
    <row r="54" customFormat="false" ht="28.35" hidden="false" customHeight="false" outlineLevel="0" collapsed="false">
      <c r="A54" s="8" t="s">
        <v>254</v>
      </c>
      <c r="B54" s="8" t="s">
        <v>255</v>
      </c>
      <c r="C54" s="8" t="s">
        <v>245</v>
      </c>
      <c r="D54" s="8" t="s">
        <v>246</v>
      </c>
      <c r="E54" s="9" t="n">
        <v>3</v>
      </c>
      <c r="F54" s="9" t="n">
        <v>3</v>
      </c>
      <c r="G54" s="9" t="n">
        <v>4</v>
      </c>
      <c r="H54" s="9" t="n">
        <v>3</v>
      </c>
      <c r="I54" s="9" t="n">
        <v>5</v>
      </c>
      <c r="J54" s="9" t="n">
        <v>4</v>
      </c>
      <c r="K54" s="9" t="n">
        <v>6</v>
      </c>
      <c r="L54" s="9" t="n">
        <v>0</v>
      </c>
      <c r="M54" s="9" t="n">
        <f aca="false">ROUND(E54*'Scoring Model'!$B$5+F54*'Scoring Model'!$B$6+G54*'Scoring Model'!$B$7+H54*'Scoring Model'!$B$8+I54*'Scoring Model'!$B$9+J54*'Scoring Model'!$B$10,2)</f>
        <v>3.65</v>
      </c>
      <c r="N54" s="10" t="n">
        <f aca="false">ROUND(M54*(1+0.05*L54)/SQRT(K54),2)</f>
        <v>1.49</v>
      </c>
      <c r="O54" s="9" t="n">
        <f aca="false">RANK(N54,N$2:N$63)</f>
        <v>51</v>
      </c>
      <c r="P54" s="11" t="s">
        <v>256</v>
      </c>
      <c r="Q54" s="11" t="s">
        <v>257</v>
      </c>
    </row>
    <row r="55" customFormat="false" ht="15" hidden="false" customHeight="false" outlineLevel="0" collapsed="false">
      <c r="A55" s="12" t="s">
        <v>258</v>
      </c>
      <c r="B55" s="12" t="s">
        <v>259</v>
      </c>
      <c r="C55" s="12" t="s">
        <v>245</v>
      </c>
      <c r="D55" s="12" t="s">
        <v>246</v>
      </c>
      <c r="E55" s="13" t="n">
        <v>1</v>
      </c>
      <c r="F55" s="13" t="n">
        <v>1</v>
      </c>
      <c r="G55" s="13" t="n">
        <v>3</v>
      </c>
      <c r="H55" s="13" t="n">
        <v>3</v>
      </c>
      <c r="I55" s="13" t="n">
        <v>2</v>
      </c>
      <c r="J55" s="13" t="n">
        <v>2</v>
      </c>
      <c r="K55" s="13" t="n">
        <v>2</v>
      </c>
      <c r="L55" s="13" t="n">
        <v>0</v>
      </c>
      <c r="M55" s="13" t="n">
        <f aca="false">ROUND(E55*'Scoring Model'!$B$5+F55*'Scoring Model'!$B$6+G55*'Scoring Model'!$B$7+H55*'Scoring Model'!$B$8+I55*'Scoring Model'!$B$9+J55*'Scoring Model'!$B$10,2)</f>
        <v>1.94</v>
      </c>
      <c r="N55" s="14" t="n">
        <f aca="false">ROUND(M55*(1+0.05*L55)/SQRT(K55),2)</f>
        <v>1.37</v>
      </c>
      <c r="O55" s="13" t="n">
        <f aca="false">RANK(N55,N$2:N$63)</f>
        <v>54</v>
      </c>
      <c r="P55" s="15" t="s">
        <v>260</v>
      </c>
      <c r="Q55" s="15" t="s">
        <v>261</v>
      </c>
    </row>
    <row r="56" customFormat="false" ht="22.35" hidden="false" customHeight="false" outlineLevel="0" collapsed="false">
      <c r="A56" s="8" t="s">
        <v>262</v>
      </c>
      <c r="B56" s="8" t="s">
        <v>263</v>
      </c>
      <c r="C56" s="8" t="s">
        <v>245</v>
      </c>
      <c r="D56" s="8" t="s">
        <v>246</v>
      </c>
      <c r="E56" s="9" t="n">
        <v>2</v>
      </c>
      <c r="F56" s="9" t="n">
        <v>2</v>
      </c>
      <c r="G56" s="9" t="n">
        <v>5</v>
      </c>
      <c r="H56" s="9" t="n">
        <v>4</v>
      </c>
      <c r="I56" s="9" t="n">
        <v>4</v>
      </c>
      <c r="J56" s="9" t="n">
        <v>4</v>
      </c>
      <c r="K56" s="9" t="n">
        <v>4</v>
      </c>
      <c r="L56" s="9" t="n">
        <v>1</v>
      </c>
      <c r="M56" s="9" t="n">
        <f aca="false">ROUND(E56*'Scoring Model'!$B$5+F56*'Scoring Model'!$B$6+G56*'Scoring Model'!$B$7+H56*'Scoring Model'!$B$8+I56*'Scoring Model'!$B$9+J56*'Scoring Model'!$B$10,2)</f>
        <v>3.44</v>
      </c>
      <c r="N56" s="10" t="n">
        <f aca="false">ROUND(M56*(1+0.05*L56)/SQRT(K56),2)</f>
        <v>1.81</v>
      </c>
      <c r="O56" s="9" t="n">
        <f aca="false">RANK(N56,N$2:N$63)</f>
        <v>44</v>
      </c>
      <c r="P56" s="11" t="s">
        <v>264</v>
      </c>
      <c r="Q56" s="11" t="s">
        <v>265</v>
      </c>
    </row>
    <row r="57" customFormat="false" ht="19.4" hidden="false" customHeight="false" outlineLevel="0" collapsed="false">
      <c r="A57" s="12" t="s">
        <v>266</v>
      </c>
      <c r="B57" s="12" t="s">
        <v>267</v>
      </c>
      <c r="C57" s="12" t="s">
        <v>245</v>
      </c>
      <c r="D57" s="12" t="s">
        <v>246</v>
      </c>
      <c r="E57" s="13" t="n">
        <v>1</v>
      </c>
      <c r="F57" s="13" t="n">
        <v>2</v>
      </c>
      <c r="G57" s="13" t="n">
        <v>2</v>
      </c>
      <c r="H57" s="13" t="n">
        <v>3</v>
      </c>
      <c r="I57" s="13" t="n">
        <v>4</v>
      </c>
      <c r="J57" s="13" t="n">
        <v>3</v>
      </c>
      <c r="K57" s="13" t="n">
        <v>6</v>
      </c>
      <c r="L57" s="13" t="n">
        <v>0</v>
      </c>
      <c r="M57" s="13" t="n">
        <f aca="false">ROUND(E57*'Scoring Model'!$B$5+F57*'Scoring Model'!$B$6+G57*'Scoring Model'!$B$7+H57*'Scoring Model'!$B$8+I57*'Scoring Model'!$B$9+J57*'Scoring Model'!$B$10,2)</f>
        <v>2.35</v>
      </c>
      <c r="N57" s="14" t="n">
        <f aca="false">ROUND(M57*(1+0.05*L57)/SQRT(K57),2)</f>
        <v>0.96</v>
      </c>
      <c r="O57" s="13" t="n">
        <f aca="false">RANK(N57,N$2:N$63)</f>
        <v>60</v>
      </c>
      <c r="P57" s="15" t="s">
        <v>268</v>
      </c>
      <c r="Q57" s="15" t="s">
        <v>269</v>
      </c>
    </row>
    <row r="58" customFormat="false" ht="19.4" hidden="false" customHeight="false" outlineLevel="0" collapsed="false">
      <c r="A58" s="8" t="s">
        <v>270</v>
      </c>
      <c r="B58" s="8" t="s">
        <v>271</v>
      </c>
      <c r="C58" s="8" t="s">
        <v>245</v>
      </c>
      <c r="D58" s="8" t="s">
        <v>246</v>
      </c>
      <c r="E58" s="9" t="n">
        <v>1</v>
      </c>
      <c r="F58" s="9" t="n">
        <v>2</v>
      </c>
      <c r="G58" s="9" t="n">
        <v>2</v>
      </c>
      <c r="H58" s="9" t="n">
        <v>1</v>
      </c>
      <c r="I58" s="9" t="n">
        <v>3</v>
      </c>
      <c r="J58" s="9" t="n">
        <v>3</v>
      </c>
      <c r="K58" s="9" t="n">
        <v>4</v>
      </c>
      <c r="L58" s="9" t="n">
        <v>0</v>
      </c>
      <c r="M58" s="9" t="n">
        <f aca="false">ROUND(E58*'Scoring Model'!$B$5+F58*'Scoring Model'!$B$6+G58*'Scoring Model'!$B$7+H58*'Scoring Model'!$B$8+I58*'Scoring Model'!$B$9+J58*'Scoring Model'!$B$10,2)</f>
        <v>1.96</v>
      </c>
      <c r="N58" s="10" t="n">
        <f aca="false">ROUND(M58*(1+0.05*L58)/SQRT(K58),2)</f>
        <v>0.98</v>
      </c>
      <c r="O58" s="9" t="n">
        <f aca="false">RANK(N58,N$2:N$63)</f>
        <v>59</v>
      </c>
      <c r="P58" s="11" t="s">
        <v>272</v>
      </c>
      <c r="Q58" s="11" t="s">
        <v>273</v>
      </c>
    </row>
    <row r="59" customFormat="false" ht="15" hidden="false" customHeight="false" outlineLevel="0" collapsed="false">
      <c r="A59" s="12" t="s">
        <v>274</v>
      </c>
      <c r="B59" s="12" t="s">
        <v>275</v>
      </c>
      <c r="C59" s="12" t="s">
        <v>245</v>
      </c>
      <c r="D59" s="12" t="s">
        <v>246</v>
      </c>
      <c r="E59" s="13" t="n">
        <v>1</v>
      </c>
      <c r="F59" s="13" t="n">
        <v>3</v>
      </c>
      <c r="G59" s="13" t="n">
        <v>2</v>
      </c>
      <c r="H59" s="13" t="n">
        <v>1</v>
      </c>
      <c r="I59" s="13" t="n">
        <v>2</v>
      </c>
      <c r="J59" s="13" t="n">
        <v>1</v>
      </c>
      <c r="K59" s="13" t="n">
        <v>2</v>
      </c>
      <c r="L59" s="13" t="n">
        <v>0</v>
      </c>
      <c r="M59" s="13" t="n">
        <f aca="false">ROUND(E59*'Scoring Model'!$B$5+F59*'Scoring Model'!$B$6+G59*'Scoring Model'!$B$7+H59*'Scoring Model'!$B$8+I59*'Scoring Model'!$B$9+J59*'Scoring Model'!$B$10,2)</f>
        <v>1.67</v>
      </c>
      <c r="N59" s="14" t="n">
        <f aca="false">ROUND(M59*(1+0.05*L59)/SQRT(K59),2)</f>
        <v>1.18</v>
      </c>
      <c r="O59" s="13" t="n">
        <f aca="false">RANK(N59,N$2:N$63)</f>
        <v>58</v>
      </c>
      <c r="P59" s="15" t="s">
        <v>276</v>
      </c>
      <c r="Q59" s="15" t="s">
        <v>277</v>
      </c>
    </row>
    <row r="60" customFormat="false" ht="19.4" hidden="false" customHeight="false" outlineLevel="0" collapsed="false">
      <c r="A60" s="8" t="s">
        <v>278</v>
      </c>
      <c r="B60" s="8" t="s">
        <v>279</v>
      </c>
      <c r="C60" s="8" t="s">
        <v>245</v>
      </c>
      <c r="D60" s="8" t="s">
        <v>246</v>
      </c>
      <c r="E60" s="9" t="n">
        <v>1</v>
      </c>
      <c r="F60" s="9" t="n">
        <v>2</v>
      </c>
      <c r="G60" s="9" t="n">
        <v>2</v>
      </c>
      <c r="H60" s="9" t="n">
        <v>1</v>
      </c>
      <c r="I60" s="9" t="n">
        <v>0</v>
      </c>
      <c r="J60" s="9" t="n">
        <v>1</v>
      </c>
      <c r="K60" s="9" t="n">
        <v>2</v>
      </c>
      <c r="L60" s="9" t="n">
        <v>0</v>
      </c>
      <c r="M60" s="9" t="n">
        <f aca="false">ROUND(E60*'Scoring Model'!$B$5+F60*'Scoring Model'!$B$6+G60*'Scoring Model'!$B$7+H60*'Scoring Model'!$B$8+I60*'Scoring Model'!$B$9+J60*'Scoring Model'!$B$10,2)</f>
        <v>1.21</v>
      </c>
      <c r="N60" s="10" t="n">
        <f aca="false">ROUND(M60*(1+0.05*L60)/SQRT(K60),2)</f>
        <v>0.86</v>
      </c>
      <c r="O60" s="9" t="n">
        <f aca="false">RANK(N60,N$2:N$63)</f>
        <v>61</v>
      </c>
      <c r="P60" s="11" t="s">
        <v>280</v>
      </c>
      <c r="Q60" s="11" t="s">
        <v>281</v>
      </c>
    </row>
    <row r="61" customFormat="false" ht="19.4" hidden="false" customHeight="false" outlineLevel="0" collapsed="false">
      <c r="A61" s="12" t="s">
        <v>282</v>
      </c>
      <c r="B61" s="12" t="s">
        <v>283</v>
      </c>
      <c r="C61" s="12" t="s">
        <v>245</v>
      </c>
      <c r="D61" s="12" t="s">
        <v>246</v>
      </c>
      <c r="E61" s="13" t="n">
        <v>1</v>
      </c>
      <c r="F61" s="13" t="n">
        <v>1</v>
      </c>
      <c r="G61" s="13" t="n">
        <v>3</v>
      </c>
      <c r="H61" s="13" t="n">
        <v>1</v>
      </c>
      <c r="I61" s="13" t="n">
        <v>1</v>
      </c>
      <c r="J61" s="13" t="n">
        <v>1</v>
      </c>
      <c r="K61" s="13" t="n">
        <v>1</v>
      </c>
      <c r="L61" s="13" t="n">
        <v>0</v>
      </c>
      <c r="M61" s="13" t="n">
        <f aca="false">ROUND(E61*'Scoring Model'!$B$5+F61*'Scoring Model'!$B$6+G61*'Scoring Model'!$B$7+H61*'Scoring Model'!$B$8+I61*'Scoring Model'!$B$9+J61*'Scoring Model'!$B$10,2)</f>
        <v>1.4</v>
      </c>
      <c r="N61" s="14" t="n">
        <f aca="false">ROUND(M61*(1+0.05*L61)/SQRT(K61),2)</f>
        <v>1.4</v>
      </c>
      <c r="O61" s="13" t="n">
        <f aca="false">RANK(N61,N$2:N$63)</f>
        <v>53</v>
      </c>
      <c r="P61" s="15" t="s">
        <v>284</v>
      </c>
      <c r="Q61" s="15" t="s">
        <v>285</v>
      </c>
    </row>
    <row r="62" customFormat="false" ht="19.4" hidden="false" customHeight="false" outlineLevel="0" collapsed="false">
      <c r="A62" s="8" t="s">
        <v>286</v>
      </c>
      <c r="B62" s="8" t="s">
        <v>287</v>
      </c>
      <c r="C62" s="8" t="s">
        <v>245</v>
      </c>
      <c r="D62" s="8" t="s">
        <v>246</v>
      </c>
      <c r="E62" s="9" t="n">
        <v>2</v>
      </c>
      <c r="F62" s="9" t="n">
        <v>0</v>
      </c>
      <c r="G62" s="9" t="n">
        <v>2</v>
      </c>
      <c r="H62" s="9" t="n">
        <v>3</v>
      </c>
      <c r="I62" s="9" t="n">
        <v>2</v>
      </c>
      <c r="J62" s="9" t="n">
        <v>1</v>
      </c>
      <c r="K62" s="9" t="n">
        <v>1.5</v>
      </c>
      <c r="L62" s="9" t="n">
        <v>0</v>
      </c>
      <c r="M62" s="9" t="n">
        <f aca="false">ROUND(E62*'Scoring Model'!$B$5+F62*'Scoring Model'!$B$6+G62*'Scoring Model'!$B$7+H62*'Scoring Model'!$B$8+I62*'Scoring Model'!$B$9+J62*'Scoring Model'!$B$10,2)</f>
        <v>1.65</v>
      </c>
      <c r="N62" s="10" t="n">
        <f aca="false">ROUND(M62*(1+0.05*L62)/SQRT(K62),2)</f>
        <v>1.35</v>
      </c>
      <c r="O62" s="9" t="n">
        <f aca="false">RANK(N62,N$2:N$63)</f>
        <v>56</v>
      </c>
      <c r="P62" s="11" t="s">
        <v>288</v>
      </c>
      <c r="Q62" s="11" t="s">
        <v>289</v>
      </c>
    </row>
    <row r="63" customFormat="false" ht="22.35" hidden="false" customHeight="false" outlineLevel="0" collapsed="false">
      <c r="A63" s="12" t="s">
        <v>290</v>
      </c>
      <c r="B63" s="12" t="s">
        <v>291</v>
      </c>
      <c r="C63" s="12" t="s">
        <v>245</v>
      </c>
      <c r="D63" s="12" t="s">
        <v>246</v>
      </c>
      <c r="E63" s="13" t="n">
        <v>4</v>
      </c>
      <c r="F63" s="13" t="n">
        <v>3</v>
      </c>
      <c r="G63" s="13" t="n">
        <v>4</v>
      </c>
      <c r="H63" s="13" t="n">
        <v>4</v>
      </c>
      <c r="I63" s="13" t="n">
        <v>4</v>
      </c>
      <c r="J63" s="13" t="n">
        <v>5</v>
      </c>
      <c r="K63" s="13" t="n">
        <v>3</v>
      </c>
      <c r="L63" s="13" t="n">
        <v>1</v>
      </c>
      <c r="M63" s="13" t="n">
        <f aca="false">ROUND(E63*'Scoring Model'!$B$5+F63*'Scoring Model'!$B$6+G63*'Scoring Model'!$B$7+H63*'Scoring Model'!$B$8+I63*'Scoring Model'!$B$9+J63*'Scoring Model'!$B$10,2)</f>
        <v>3.99</v>
      </c>
      <c r="N63" s="14" t="n">
        <f aca="false">ROUND(M63*(1+0.05*L63)/SQRT(K63),2)</f>
        <v>2.42</v>
      </c>
      <c r="O63" s="13" t="n">
        <f aca="false">RANK(N63,N$2:N$63)</f>
        <v>29</v>
      </c>
      <c r="P63" s="15" t="s">
        <v>292</v>
      </c>
      <c r="Q63" s="15" t="s">
        <v>293</v>
      </c>
    </row>
  </sheetData>
  <autoFilter ref="A1:Q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5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55"/>
  </cols>
  <sheetData>
    <row r="1" customFormat="false" ht="22.35" hidden="false" customHeight="false" outlineLevel="0" collapsed="false">
      <c r="A1" s="16" t="s">
        <v>19</v>
      </c>
      <c r="B1" s="16" t="s">
        <v>294</v>
      </c>
      <c r="C1" s="16" t="s">
        <v>295</v>
      </c>
      <c r="D1" s="16" t="s">
        <v>296</v>
      </c>
      <c r="E1" s="16" t="s">
        <v>297</v>
      </c>
      <c r="F1" s="16" t="s">
        <v>298</v>
      </c>
      <c r="G1" s="16" t="s">
        <v>299</v>
      </c>
    </row>
    <row r="2" customFormat="false" ht="22.35" hidden="false" customHeight="false" outlineLevel="0" collapsed="false">
      <c r="A2" s="17" t="s">
        <v>36</v>
      </c>
      <c r="B2" s="8" t="s">
        <v>300</v>
      </c>
      <c r="C2" s="8" t="s">
        <v>301</v>
      </c>
      <c r="D2" s="8" t="s">
        <v>302</v>
      </c>
      <c r="E2" s="8" t="n">
        <f aca="false">SUMPRODUCT((LEFT('Prioritised Backlog'!$D$2:$D$63,2)=LEFT($A2,2))*1)</f>
        <v>10</v>
      </c>
      <c r="F2" s="8" t="n">
        <f aca="false">ROUND(SUMPRODUCT((LEFT('Prioritised Backlog'!$D$2:$D$63,2)=LEFT($A2,2))*'Prioritised Backlog'!$K$2:$K$63),1)</f>
        <v>5.5</v>
      </c>
      <c r="G2" s="8" t="s">
        <v>303</v>
      </c>
    </row>
    <row r="3" customFormat="false" ht="22.35" hidden="false" customHeight="false" outlineLevel="0" collapsed="false">
      <c r="A3" s="18" t="s">
        <v>79</v>
      </c>
      <c r="B3" s="19" t="s">
        <v>304</v>
      </c>
      <c r="C3" s="19" t="s">
        <v>305</v>
      </c>
      <c r="D3" s="19" t="s">
        <v>306</v>
      </c>
      <c r="E3" s="19" t="n">
        <f aca="false">SUMPRODUCT((LEFT('Prioritised Backlog'!$D$2:$D$63,2)=LEFT($A3,2))*1)</f>
        <v>8</v>
      </c>
      <c r="F3" s="19" t="n">
        <f aca="false">ROUND(SUMPRODUCT((LEFT('Prioritised Backlog'!$D$2:$D$63,2)=LEFT($A3,2))*'Prioritised Backlog'!$K$2:$K$63),1)</f>
        <v>7.3</v>
      </c>
      <c r="G3" s="19" t="s">
        <v>307</v>
      </c>
    </row>
    <row r="4" customFormat="false" ht="22.35" hidden="false" customHeight="false" outlineLevel="0" collapsed="false">
      <c r="A4" s="17" t="s">
        <v>111</v>
      </c>
      <c r="B4" s="8" t="s">
        <v>308</v>
      </c>
      <c r="C4" s="8" t="s">
        <v>309</v>
      </c>
      <c r="D4" s="8" t="s">
        <v>310</v>
      </c>
      <c r="E4" s="8" t="n">
        <f aca="false">SUMPRODUCT((LEFT('Prioritised Backlog'!$D$2:$D$63,2)=LEFT($A4,2))*1)</f>
        <v>9</v>
      </c>
      <c r="F4" s="8" t="n">
        <f aca="false">ROUND(SUMPRODUCT((LEFT('Prioritised Backlog'!$D$2:$D$63,2)=LEFT($A4,2))*'Prioritised Backlog'!$K$2:$K$63),1)</f>
        <v>15.7</v>
      </c>
      <c r="G4" s="8" t="s">
        <v>311</v>
      </c>
    </row>
    <row r="5" customFormat="false" ht="22.35" hidden="false" customHeight="false" outlineLevel="0" collapsed="false">
      <c r="A5" s="18" t="s">
        <v>149</v>
      </c>
      <c r="B5" s="19" t="s">
        <v>312</v>
      </c>
      <c r="C5" s="19" t="s">
        <v>313</v>
      </c>
      <c r="D5" s="19" t="s">
        <v>314</v>
      </c>
      <c r="E5" s="19" t="n">
        <f aca="false">SUMPRODUCT((LEFT('Prioritised Backlog'!$D$2:$D$63,2)=LEFT($A5,2))*1)</f>
        <v>9</v>
      </c>
      <c r="F5" s="19" t="n">
        <f aca="false">ROUND(SUMPRODUCT((LEFT('Prioritised Backlog'!$D$2:$D$63,2)=LEFT($A5,2))*'Prioritised Backlog'!$K$2:$K$63),1)</f>
        <v>11</v>
      </c>
      <c r="G5" s="19" t="s">
        <v>315</v>
      </c>
    </row>
    <row r="6" customFormat="false" ht="22.35" hidden="false" customHeight="false" outlineLevel="0" collapsed="false">
      <c r="A6" s="17" t="s">
        <v>187</v>
      </c>
      <c r="B6" s="8" t="s">
        <v>186</v>
      </c>
      <c r="C6" s="8" t="s">
        <v>316</v>
      </c>
      <c r="D6" s="8" t="s">
        <v>317</v>
      </c>
      <c r="E6" s="8" t="n">
        <f aca="false">SUMPRODUCT((LEFT('Prioritised Backlog'!$D$2:$D$63,2)=LEFT($A6,2))*1)</f>
        <v>9</v>
      </c>
      <c r="F6" s="8" t="n">
        <f aca="false">ROUND(SUMPRODUCT((LEFT('Prioritised Backlog'!$D$2:$D$63,2)=LEFT($A6,2))*'Prioritised Backlog'!$K$2:$K$63),1)</f>
        <v>19.7</v>
      </c>
      <c r="G6" s="8" t="s">
        <v>318</v>
      </c>
    </row>
    <row r="7" customFormat="false" ht="22.35" hidden="false" customHeight="false" outlineLevel="0" collapsed="false">
      <c r="A7" s="18" t="s">
        <v>224</v>
      </c>
      <c r="B7" s="19" t="s">
        <v>223</v>
      </c>
      <c r="C7" s="19" t="s">
        <v>319</v>
      </c>
      <c r="D7" s="19" t="s">
        <v>320</v>
      </c>
      <c r="E7" s="19" t="n">
        <f aca="false">SUMPRODUCT((LEFT('Prioritised Backlog'!$D$2:$D$63,2)=LEFT($A7,2))*1)</f>
        <v>5</v>
      </c>
      <c r="F7" s="19" t="n">
        <f aca="false">ROUND(SUMPRODUCT((LEFT('Prioritised Backlog'!$D$2:$D$63,2)=LEFT($A7,2))*'Prioritised Backlog'!$K$2:$K$63),1)</f>
        <v>15</v>
      </c>
      <c r="G7" s="19" t="s">
        <v>321</v>
      </c>
    </row>
    <row r="8" customFormat="false" ht="22.35" hidden="false" customHeight="false" outlineLevel="0" collapsed="false">
      <c r="A8" s="17" t="s">
        <v>246</v>
      </c>
      <c r="B8" s="8" t="s">
        <v>245</v>
      </c>
      <c r="C8" s="8" t="s">
        <v>322</v>
      </c>
      <c r="D8" s="8" t="s">
        <v>323</v>
      </c>
      <c r="E8" s="8" t="n">
        <f aca="false">SUMPRODUCT((LEFT('Prioritised Backlog'!$D$2:$D$63,2)=LEFT($A8,2))*1)</f>
        <v>12</v>
      </c>
      <c r="F8" s="8" t="n">
        <f aca="false">ROUND(SUMPRODUCT((LEFT('Prioritised Backlog'!$D$2:$D$63,2)=LEFT($A8,2))*'Prioritised Backlog'!$K$2:$K$63),1)</f>
        <v>41.5</v>
      </c>
      <c r="G8" s="8" t="s">
        <v>324</v>
      </c>
    </row>
    <row r="10" customFormat="false" ht="15" hidden="false" customHeight="false" outlineLevel="0" collapsed="false">
      <c r="A10" s="20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1" t="s">
        <v>326</v>
      </c>
      <c r="B1" s="21" t="s">
        <v>327</v>
      </c>
      <c r="C1" s="21" t="s">
        <v>328</v>
      </c>
    </row>
    <row r="2" customFormat="false" ht="32.8" hidden="false" customHeight="false" outlineLevel="0" collapsed="false">
      <c r="A2" s="17" t="s">
        <v>329</v>
      </c>
      <c r="B2" s="8" t="s">
        <v>330</v>
      </c>
      <c r="C2" s="8" t="s">
        <v>331</v>
      </c>
    </row>
    <row r="3" customFormat="false" ht="32.8" hidden="false" customHeight="false" outlineLevel="0" collapsed="false">
      <c r="A3" s="18" t="s">
        <v>332</v>
      </c>
      <c r="B3" s="19" t="s">
        <v>333</v>
      </c>
      <c r="C3" s="19" t="s">
        <v>334</v>
      </c>
    </row>
    <row r="4" customFormat="false" ht="32.8" hidden="false" customHeight="false" outlineLevel="0" collapsed="false">
      <c r="A4" s="17" t="s">
        <v>335</v>
      </c>
      <c r="B4" s="8" t="s">
        <v>336</v>
      </c>
      <c r="C4" s="8" t="s">
        <v>337</v>
      </c>
    </row>
    <row r="5" customFormat="false" ht="32.8" hidden="false" customHeight="false" outlineLevel="0" collapsed="false">
      <c r="A5" s="18" t="s">
        <v>338</v>
      </c>
      <c r="B5" s="19" t="s">
        <v>339</v>
      </c>
      <c r="C5" s="19" t="s">
        <v>340</v>
      </c>
    </row>
    <row r="6" customFormat="false" ht="32.8" hidden="false" customHeight="false" outlineLevel="0" collapsed="false">
      <c r="A6" s="17" t="s">
        <v>341</v>
      </c>
      <c r="B6" s="8" t="s">
        <v>342</v>
      </c>
      <c r="C6" s="8" t="s">
        <v>343</v>
      </c>
    </row>
    <row r="7" customFormat="false" ht="32.8" hidden="false" customHeight="false" outlineLevel="0" collapsed="false">
      <c r="A7" s="18" t="s">
        <v>344</v>
      </c>
      <c r="B7" s="19" t="s">
        <v>345</v>
      </c>
      <c r="C7" s="19" t="s">
        <v>346</v>
      </c>
    </row>
    <row r="8" customFormat="false" ht="53.7" hidden="false" customHeight="false" outlineLevel="0" collapsed="false">
      <c r="A8" s="17" t="s">
        <v>347</v>
      </c>
      <c r="B8" s="8" t="s">
        <v>348</v>
      </c>
      <c r="C8" s="8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2026-07-16T18:16:27Z</dcterms:created>
  <dc:creator>openpyxl</dc:creator>
  <dc:description/>
  <dc:language>en-US</dc:language>
  <cp:lastModifiedBy/>
  <dcterms:modified xsi:type="dcterms:W3CDTF">2026-07-16T18:16:27Z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