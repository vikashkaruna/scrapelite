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Feature Master" sheetId="2" state="visible" r:id="rId4"/>
    <sheet name="Prompt Runbook" sheetId="3" state="visible" r:id="rId5"/>
    <sheet name="Release Milestones" sheetId="4" state="visible" r:id="rId6"/>
    <sheet name="Docs &amp; Content" sheetId="5" state="visible" r:id="rId7"/>
    <sheet name="RAID Log" sheetId="6" state="visible" r:id="rId8"/>
  </sheets>
  <definedNames>
    <definedName function="false" hidden="true" localSheetId="4" name="_xlnm._FilterDatabase" vbProcedure="false">'Docs &amp; Content'!$A$1:$L$59</definedName>
    <definedName function="false" hidden="true" localSheetId="1" name="_xlnm._FilterDatabase" vbProcedure="false">'Feature Master'!$A$1:$W$67</definedName>
    <definedName function="false" hidden="true" localSheetId="2" name="_xlnm._FilterDatabase" vbProcedure="false">'Prompt Runbook'!$A$1:$K$59</definedName>
    <definedName function="false" hidden="true" localSheetId="5" name="_xlnm._FilterDatabase" vbProcedure="false">'RAID Log'!$A$1:$K$16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<sst xmlns="http://schemas.openxmlformats.org/spreadsheetml/2006/main" count="2248" uniqueCount="690">
  <si>
    <t xml:space="preserve">DatIQ Feature &amp; Release Tracker</t>
  </si>
  <si>
    <t xml:space="preserve">v1.0 · August 2026 · Companion to Files 01–12 (Model Council deliverables &amp; implementation prompts)</t>
  </si>
  <si>
    <t xml:space="preserve">Sheet</t>
  </si>
  <si>
    <t xml:space="preserve">Purpose</t>
  </si>
  <si>
    <t xml:space="preserve">Feature Master</t>
  </si>
  <si>
    <t xml:space="preserve">One row per roadmap feature (Files 02, 08–12). Traceability: Feature -&gt; Prompt -&gt; Release -&gt; Source report. Update the yellow status columns as work progresses.</t>
  </si>
  <si>
    <t xml:space="preserve">Prompt Runbook</t>
  </si>
  <si>
    <t xml:space="preserve">Ordered execution list of implementation prompts. Run top to bottom; respect Run-After column.</t>
  </si>
  <si>
    <t xml:space="preserve">Release Milestones</t>
  </si>
  <si>
    <t xml:space="preserve">Release/version windows, themes, exit criteria. Feature counts and effort auto-roll up from Feature Master via formulas.</t>
  </si>
  <si>
    <t xml:space="preserve">Docs &amp; Content</t>
  </si>
  <si>
    <t xml:space="preserve">Per-prompt documentation contract checklist (feature doc, help, use case, changelog, blog, runbook).</t>
  </si>
  <si>
    <t xml:space="preserve">RAID Log</t>
  </si>
  <si>
    <t xml:space="preserve">Risks, Assumptions, Issues, Dependencies — seeded from council analysis; maintain continuously.</t>
  </si>
  <si>
    <t xml:space="preserve">Legend</t>
  </si>
  <si>
    <t xml:space="preserve">Yellow-filled cells are the ones you edit (statuses, dates, owners, notes). All other cells are reference data or formulas.</t>
  </si>
  <si>
    <t xml:space="preserve">Status values</t>
  </si>
  <si>
    <t xml:space="preserve">Planned / In Progress / Built / Testing / Deployed-Canary / GA / Deferred / Skipped(trigger)</t>
  </si>
  <si>
    <t xml:space="preserve">Source key</t>
  </si>
  <si>
    <t xml:space="preserve">MM=MiniMax analysis · CL=Claude blueprint · DS=DeepSeek/ZAi blueprints · GM=Gemini platform paper · LS=Live-site review · CO=Council addition</t>
  </si>
  <si>
    <t xml:space="preserve">Feature ID</t>
  </si>
  <si>
    <t xml:space="preserve">Feature Name</t>
  </si>
  <si>
    <t xml:space="preserve">Pillar</t>
  </si>
  <si>
    <t xml:space="preserve">Release</t>
  </si>
  <si>
    <t xml:space="preserve">Version</t>
  </si>
  <si>
    <t xml:space="preserve">Milestone Window</t>
  </si>
  <si>
    <t xml:space="preserve">Prompt ID</t>
  </si>
  <si>
    <t xml:space="preserve">Flag</t>
  </si>
  <si>
    <t xml:space="preserve">Source Reports</t>
  </si>
  <si>
    <t xml:space="preserve">Composite Score</t>
  </si>
  <si>
    <t xml:space="preserve">Primary Persona(s)</t>
  </si>
  <si>
    <t xml:space="preserve">Tier Gate</t>
  </si>
  <si>
    <t xml:space="preserve">Est PD</t>
  </si>
  <si>
    <t xml:space="preserve">Dependencies</t>
  </si>
  <si>
    <t xml:space="preserve">Success Metric</t>
  </si>
  <si>
    <t xml:space="preserve">Status</t>
  </si>
  <si>
    <t xml:space="preserve">Build</t>
  </si>
  <si>
    <t xml:space="preserve">Test</t>
  </si>
  <si>
    <t xml:space="preserve">Docs</t>
  </si>
  <si>
    <t xml:space="preserve">Deploy</t>
  </si>
  <si>
    <t xml:space="preserve">Owner</t>
  </si>
  <si>
    <t xml:space="preserve">Target Date</t>
  </si>
  <si>
    <t xml:space="preserve">Notes</t>
  </si>
  <si>
    <t xml:space="preserve">F-000</t>
  </si>
  <si>
    <t xml:space="preserve">Platform bootstrap (flags, docs pipeline, CI gates, golden datasets, telemetry taxonomy)</t>
  </si>
  <si>
    <t xml:space="preserve">Platform</t>
  </si>
  <si>
    <t xml:space="preserve">R0</t>
  </si>
  <si>
    <t xml:space="preserve">v1.1</t>
  </si>
  <si>
    <t xml:space="preserve">Wk 1-4</t>
  </si>
  <si>
    <t xml:space="preserve">DP-R0-00</t>
  </si>
  <si>
    <t xml:space="preserve">n/a</t>
  </si>
  <si>
    <t xml:space="preserve">CO</t>
  </si>
  <si>
    <t xml:space="preserve">Engineering</t>
  </si>
  <si>
    <t xml:space="preserve">—</t>
  </si>
  <si>
    <t xml:space="preserve">CI green; changelog assembler works</t>
  </si>
  <si>
    <t xml:space="preserve">Planned</t>
  </si>
  <si>
    <t xml:space="preserve">F-0.1</t>
  </si>
  <si>
    <t xml:space="preserve">SSR + deep-linkable result permalinks</t>
  </si>
  <si>
    <t xml:space="preserve">Growth</t>
  </si>
  <si>
    <t xml:space="preserve">DP-R0-01</t>
  </si>
  <si>
    <t xml:space="preserve">permalinks</t>
  </si>
  <si>
    <t xml:space="preserve">MM</t>
  </si>
  <si>
    <t xml:space="preserve">All</t>
  </si>
  <si>
    <t xml:space="preserve">Free+</t>
  </si>
  <si>
    <t xml:space="preserve">&gt;50 indexed pages; share events</t>
  </si>
  <si>
    <t xml:space="preserve">F-0.2</t>
  </si>
  <si>
    <t xml:space="preserve">One-click JSON/CSV/Markdown export</t>
  </si>
  <si>
    <t xml:space="preserve">Extract</t>
  </si>
  <si>
    <t xml:space="preserve">DP-R0-02</t>
  </si>
  <si>
    <t xml:space="preserve">export</t>
  </si>
  <si>
    <t xml:space="preserve">MM, DS</t>
  </si>
  <si>
    <t xml:space="preserve">Analyst, Developer</t>
  </si>
  <si>
    <t xml:space="preserve">Export usage; conversion assist</t>
  </si>
  <si>
    <t xml:space="preserve">F-0.3</t>
  </si>
  <si>
    <t xml:space="preserve">REST API v1 + keys + OpenAPI docs</t>
  </si>
  <si>
    <t xml:space="preserve">DP-R0-03</t>
  </si>
  <si>
    <t xml:space="preserve">public_api</t>
  </si>
  <si>
    <t xml:space="preserve">CL, DS</t>
  </si>
  <si>
    <t xml:space="preserve">Developer</t>
  </si>
  <si>
    <t xml:space="preserve">Starter+</t>
  </si>
  <si>
    <t xml:space="preserve">Keys created; API req volume</t>
  </si>
  <si>
    <t xml:space="preserve">F-0.4</t>
  </si>
  <si>
    <t xml:space="preserve">Persona landing routes (5 incl. /ai-visibility)</t>
  </si>
  <si>
    <t xml:space="preserve">DP-R0-04</t>
  </si>
  <si>
    <t xml:space="preserve">persona_routes</t>
  </si>
  <si>
    <t xml:space="preserve">MM, GM</t>
  </si>
  <si>
    <t xml:space="preserve">Per-route signup conversion</t>
  </si>
  <si>
    <t xml:space="preserve">F-0.5</t>
  </si>
  <si>
    <t xml:space="preserve">Programmatic SEO engine</t>
  </si>
  <si>
    <t xml:space="preserve">DP-R0-05</t>
  </si>
  <si>
    <t xml:space="preserve">pseo</t>
  </si>
  <si>
    <t xml:space="preserve">F-0.1,F-0.4</t>
  </si>
  <si>
    <t xml:space="preserve">Indexed count; organic clicks</t>
  </si>
  <si>
    <t xml:space="preserve">F-0.6</t>
  </si>
  <si>
    <t xml:space="preserve">Accounts + saved history + collections</t>
  </si>
  <si>
    <t xml:space="preserve">App Shell</t>
  </si>
  <si>
    <t xml:space="preserve">DP-R0-06</t>
  </si>
  <si>
    <t xml:space="preserve">collections</t>
  </si>
  <si>
    <t xml:space="preserve">Return-visit rate; items saved</t>
  </si>
  <si>
    <t xml:space="preserve">F-0.7</t>
  </si>
  <si>
    <t xml:space="preserve">Public changelog + docs hub + PH/social launch</t>
  </si>
  <si>
    <t xml:space="preserve">DP-R0-07</t>
  </si>
  <si>
    <t xml:space="preserve">docs_hub</t>
  </si>
  <si>
    <t xml:space="preserve">Docs views; PH launch executed</t>
  </si>
  <si>
    <t xml:space="preserve">F-0.8</t>
  </si>
  <si>
    <t xml:space="preserve">Rebrand rollout (identity, homepage, pricing page)</t>
  </si>
  <si>
    <t xml:space="preserve">Brand</t>
  </si>
  <si>
    <t xml:space="preserve">DP-R0-09</t>
  </si>
  <si>
    <t xml:space="preserve">rebrand_2026</t>
  </si>
  <si>
    <t xml:space="preserve">Hero A/B conversion</t>
  </si>
  <si>
    <t xml:space="preserve">F-0.9</t>
  </si>
  <si>
    <t xml:space="preserve">Modular routing shell + feature flags</t>
  </si>
  <si>
    <t xml:space="preserve">CL</t>
  </si>
  <si>
    <t xml:space="preserve">Routes live behind flags</t>
  </si>
  <si>
    <t xml:space="preserve">F-0.10</t>
  </si>
  <si>
    <t xml:space="preserve">Webhooks v1 (extraction/batch/schedule events)</t>
  </si>
  <si>
    <t xml:space="preserve">DP-R0-08</t>
  </si>
  <si>
    <t xml:space="preserve">webhooks</t>
  </si>
  <si>
    <t xml:space="preserve">Deliveries; recipes created</t>
  </si>
  <si>
    <t xml:space="preserve">F-0.11</t>
  </si>
  <si>
    <t xml:space="preserve">Analytics foundation + activation instrumentation</t>
  </si>
  <si>
    <t xml:space="preserve">DP-R0-10</t>
  </si>
  <si>
    <t xml:space="preserve">CL, CO</t>
  </si>
  <si>
    <t xml:space="preserve">Founder/PM</t>
  </si>
  <si>
    <t xml:space="preserve">Weekly digest received</t>
  </si>
  <si>
    <t xml:space="preserve">F-1.1a</t>
  </si>
  <si>
    <t xml:space="preserve">Social ingestion pipeline (X, Reddit, RSS)</t>
  </si>
  <si>
    <t xml:space="preserve">Social</t>
  </si>
  <si>
    <t xml:space="preserve">R1</t>
  </si>
  <si>
    <t xml:space="preserve">v2.0</t>
  </si>
  <si>
    <t xml:space="preserve">Wk 5-12</t>
  </si>
  <si>
    <t xml:space="preserve">DP-R1-01</t>
  </si>
  <si>
    <t xml:space="preserve">social_pipeline</t>
  </si>
  <si>
    <t xml:space="preserve">CMO, Founder</t>
  </si>
  <si>
    <t xml:space="preserve">Ingest SLAs met 72h</t>
  </si>
  <si>
    <t xml:space="preserve">F-1.1b</t>
  </si>
  <si>
    <t xml:space="preserve">Sentiment + intent classification + NER + reach</t>
  </si>
  <si>
    <t xml:space="preserve">DP-R1-02</t>
  </si>
  <si>
    <t xml:space="preserve">DS, CL</t>
  </si>
  <si>
    <t xml:space="preserve">CMO, RevOps</t>
  </si>
  <si>
    <t xml:space="preserve">Golden gate: 80%/70% agreement</t>
  </si>
  <si>
    <t xml:space="preserve">F-1.1c</t>
  </si>
  <si>
    <t xml:space="preserve">Social dashboard + mention feed + detail</t>
  </si>
  <si>
    <t xml:space="preserve">DP-R1-03</t>
  </si>
  <si>
    <t xml:space="preserve">social_mvp</t>
  </si>
  <si>
    <t xml:space="preserve">Feed DAU; p95 &lt;800ms</t>
  </si>
  <si>
    <t xml:space="preserve">F-1.1d</t>
  </si>
  <si>
    <t xml:space="preserve">Keyword tracking + onboarding wizard</t>
  </si>
  <si>
    <t xml:space="preserve">DP-R1-04</t>
  </si>
  <si>
    <t xml:space="preserve">Wizard completion &gt;=70%</t>
  </si>
  <si>
    <t xml:space="preserve">F-1.1e</t>
  </si>
  <si>
    <t xml:space="preserve">Alert engine (spike/negative/influence/co-mention)</t>
  </si>
  <si>
    <t xml:space="preserve">DP-R1-05</t>
  </si>
  <si>
    <t xml:space="preserve">social_alerts</t>
  </si>
  <si>
    <t xml:space="preserve">Alert open rate &gt;=40%</t>
  </si>
  <si>
    <t xml:space="preserve">F-1.2</t>
  </si>
  <si>
    <t xml:space="preserve">Stripe billing + 4 tiers + gates + metering</t>
  </si>
  <si>
    <t xml:space="preserve">Monetization</t>
  </si>
  <si>
    <t xml:space="preserve">DP-R1-06</t>
  </si>
  <si>
    <t xml:space="preserve">billing</t>
  </si>
  <si>
    <t xml:space="preserve">CL, DS, GM</t>
  </si>
  <si>
    <t xml:space="preserve">First live transactions; gate matrix green</t>
  </si>
  <si>
    <t xml:space="preserve">F-1.3</t>
  </si>
  <si>
    <t xml:space="preserve">HubSpot connector (bi-directional)</t>
  </si>
  <si>
    <t xml:space="preserve">Connect</t>
  </si>
  <si>
    <t xml:space="preserve">DP-R1-07</t>
  </si>
  <si>
    <t xml:space="preserve">connectors</t>
  </si>
  <si>
    <t xml:space="preserve">RevOps</t>
  </si>
  <si>
    <t xml:space="preserve">Syncs completed; zero unresolved errors</t>
  </si>
  <si>
    <t xml:space="preserve">F-1.4</t>
  </si>
  <si>
    <t xml:space="preserve">Apollo connector (enrichment + verification)</t>
  </si>
  <si>
    <t xml:space="preserve">Enrichments applied</t>
  </si>
  <si>
    <t xml:space="preserve">F-1.5</t>
  </si>
  <si>
    <t xml:space="preserve">Change-detection alerts on schedules</t>
  </si>
  <si>
    <t xml:space="preserve">Compete</t>
  </si>
  <si>
    <t xml:space="preserve">DP-R1-09</t>
  </si>
  <si>
    <t xml:space="preserve">change_alerts</t>
  </si>
  <si>
    <t xml:space="preserve">MM, LS</t>
  </si>
  <si>
    <t xml:space="preserve">CI/Marketing</t>
  </si>
  <si>
    <t xml:space="preserve">F-0.10,F-1.1e</t>
  </si>
  <si>
    <t xml:space="preserve">Changes detected; diff views</t>
  </si>
  <si>
    <t xml:space="preserve">F-1.6</t>
  </si>
  <si>
    <t xml:space="preserve">Connector framework + mapping engine + mgmt UI</t>
  </si>
  <si>
    <t xml:space="preserve">Dry-run adoption; framework reuse</t>
  </si>
  <si>
    <t xml:space="preserve">F-1.7</t>
  </si>
  <si>
    <t xml:space="preserve">Usage dashboard</t>
  </si>
  <si>
    <t xml:space="preserve">DP-R1-10</t>
  </si>
  <si>
    <t xml:space="preserve">usage_digests</t>
  </si>
  <si>
    <t xml:space="preserve">All paid</t>
  </si>
  <si>
    <t xml:space="preserve">Usage views; upgrade CTA clicks</t>
  </si>
  <si>
    <t xml:space="preserve">F-1.8</t>
  </si>
  <si>
    <t xml:space="preserve">Competitive keyword tracking + trend comparison</t>
  </si>
  <si>
    <t xml:space="preserve">DP-R1-08</t>
  </si>
  <si>
    <t xml:space="preserve">social_compete</t>
  </si>
  <si>
    <t xml:space="preserve">CI, CMO</t>
  </si>
  <si>
    <t xml:space="preserve">Pro+</t>
  </si>
  <si>
    <t xml:space="preserve">Compare views</t>
  </si>
  <si>
    <t xml:space="preserve">F-1.9</t>
  </si>
  <si>
    <t xml:space="preserve">Email digests (daily/weekly)</t>
  </si>
  <si>
    <t xml:space="preserve">Engagement</t>
  </si>
  <si>
    <t xml:space="preserve">CL, GM</t>
  </si>
  <si>
    <t xml:space="preserve">F-1.1e,F-1.5</t>
  </si>
  <si>
    <t xml:space="preserve">Digest open rate</t>
  </si>
  <si>
    <t xml:space="preserve">F-1.10</t>
  </si>
  <si>
    <t xml:space="preserve">30-day historical backfill</t>
  </si>
  <si>
    <t xml:space="preserve">Time-to-first-mention &lt;10min</t>
  </si>
  <si>
    <t xml:space="preserve">F-1.11</t>
  </si>
  <si>
    <t xml:space="preserve">LLM semantic-fallback parsing</t>
  </si>
  <si>
    <t xml:space="preserve">DP-R1-11</t>
  </si>
  <si>
    <t xml:space="preserve">semantic_fallback</t>
  </si>
  <si>
    <t xml:space="preserve">DS</t>
  </si>
  <si>
    <t xml:space="preserve">Failure-recovery rate; golden parity</t>
  </si>
  <si>
    <t xml:space="preserve">F-1.12</t>
  </si>
  <si>
    <t xml:space="preserve">Product analytics deep-dive + admin console v1</t>
  </si>
  <si>
    <t xml:space="preserve">DP-R1-12</t>
  </si>
  <si>
    <t xml:space="preserve">admin_v1</t>
  </si>
  <si>
    <t xml:space="preserve">Internal</t>
  </si>
  <si>
    <t xml:space="preserve">Cohort report generated</t>
  </si>
  <si>
    <t xml:space="preserve">F-1.13</t>
  </si>
  <si>
    <t xml:space="preserve">Onboarding + polish (perf, a11y, mobile)</t>
  </si>
  <si>
    <t xml:space="preserve">Quality</t>
  </si>
  <si>
    <t xml:space="preserve">DP-R1-13</t>
  </si>
  <si>
    <t xml:space="preserve">(various)</t>
  </si>
  <si>
    <t xml:space="preserve">All R1</t>
  </si>
  <si>
    <t xml:space="preserve">Lighthouse budgets green</t>
  </si>
  <si>
    <t xml:space="preserve">F-2.1</t>
  </si>
  <si>
    <t xml:space="preserve">Company Intelligence workspace</t>
  </si>
  <si>
    <t xml:space="preserve">Company</t>
  </si>
  <si>
    <t xml:space="preserve">R2</t>
  </si>
  <si>
    <t xml:space="preserve">v2.5</t>
  </si>
  <si>
    <t xml:space="preserve">M4-6</t>
  </si>
  <si>
    <t xml:space="preserve">DP-R2-01</t>
  </si>
  <si>
    <t xml:space="preserve">company_intel</t>
  </si>
  <si>
    <t xml:space="preserve">GM</t>
  </si>
  <si>
    <t xml:space="preserve">RevOps, Founder</t>
  </si>
  <si>
    <t xml:space="preserve">R1-RC</t>
  </si>
  <si>
    <t xml:space="preserve">Profiles created; accuracy rubric</t>
  </si>
  <si>
    <t xml:space="preserve">F-2.2</t>
  </si>
  <si>
    <t xml:space="preserve">MCP server + agent-ready API</t>
  </si>
  <si>
    <t xml:space="preserve">DP-R2-02</t>
  </si>
  <si>
    <t xml:space="preserve">mcp_server</t>
  </si>
  <si>
    <t xml:space="preserve">10 external integrations</t>
  </si>
  <si>
    <t xml:space="preserve">F-2.3</t>
  </si>
  <si>
    <t xml:space="preserve">Calendly connector: pre-meeting briefings</t>
  </si>
  <si>
    <t xml:space="preserve">DP-R2-03</t>
  </si>
  <si>
    <t xml:space="preserve">calendly_briefs</t>
  </si>
  <si>
    <t xml:space="preserve">F-2.1,F-1.6</t>
  </si>
  <si>
    <t xml:space="preserve">Briefs generated/opened</t>
  </si>
  <si>
    <t xml:space="preserve">F-2.4</t>
  </si>
  <si>
    <t xml:space="preserve">Competitive Intelligence module + battlecards</t>
  </si>
  <si>
    <t xml:space="preserve">DP-R2-04</t>
  </si>
  <si>
    <t xml:space="preserve">compete_module</t>
  </si>
  <si>
    <t xml:space="preserve">GM, MM</t>
  </si>
  <si>
    <t xml:space="preserve">CI, Sales</t>
  </si>
  <si>
    <t xml:space="preserve">F-1.5,F-2.1</t>
  </si>
  <si>
    <t xml:space="preserve">Battlecards created/shared</t>
  </si>
  <si>
    <t xml:space="preserve">F-2.5</t>
  </si>
  <si>
    <t xml:space="preserve">Prebuilt extraction templates (25)</t>
  </si>
  <si>
    <t xml:space="preserve">DP-R2-05</t>
  </si>
  <si>
    <t xml:space="preserve">templates</t>
  </si>
  <si>
    <t xml:space="preserve">Templates applied; gallery conversion</t>
  </si>
  <si>
    <t xml:space="preserve">F-2.6</t>
  </si>
  <si>
    <t xml:space="preserve">Zapier + Make + Sheets + Airtable</t>
  </si>
  <si>
    <t xml:space="preserve">DP-R2-06</t>
  </si>
  <si>
    <t xml:space="preserve">automation_integrations</t>
  </si>
  <si>
    <t xml:space="preserve">F-0.10,F-1.6</t>
  </si>
  <si>
    <t xml:space="preserve">Destination syncs; Zapier listing</t>
  </si>
  <si>
    <t xml:space="preserve">F-2.7</t>
  </si>
  <si>
    <t xml:space="preserve">Slack + Teams alert channels</t>
  </si>
  <si>
    <t xml:space="preserve">DP-R2-07</t>
  </si>
  <si>
    <t xml:space="preserve">team_surfaces</t>
  </si>
  <si>
    <t xml:space="preserve">DS, GM</t>
  </si>
  <si>
    <t xml:space="preserve">Teams</t>
  </si>
  <si>
    <t xml:space="preserve">Deliveries by channel</t>
  </si>
  <si>
    <t xml:space="preserve">F-2.8</t>
  </si>
  <si>
    <t xml:space="preserve">Research Workspace (projects, pins, saved searches)</t>
  </si>
  <si>
    <t xml:space="preserve">Analyst</t>
  </si>
  <si>
    <t xml:space="preserve">Projects created</t>
  </si>
  <si>
    <t xml:space="preserve">F-2.9</t>
  </si>
  <si>
    <t xml:space="preserve">YouTube + news sources</t>
  </si>
  <si>
    <t xml:space="preserve">DP-R2-08</t>
  </si>
  <si>
    <t xml:space="preserve">sources_v2</t>
  </si>
  <si>
    <t xml:space="preserve">GM, DS</t>
  </si>
  <si>
    <t xml:space="preserve">CMO</t>
  </si>
  <si>
    <t xml:space="preserve">Mentions by new source</t>
  </si>
  <si>
    <t xml:space="preserve">F-2.10</t>
  </si>
  <si>
    <t xml:space="preserve">SOC 2 evidence collection start</t>
  </si>
  <si>
    <t xml:space="preserve">Trust</t>
  </si>
  <si>
    <t xml:space="preserve">Enterprise</t>
  </si>
  <si>
    <t xml:space="preserve">Evidence tracker initialized</t>
  </si>
  <si>
    <t xml:space="preserve">F-2.11</t>
  </si>
  <si>
    <t xml:space="preserve">Mobile + WCAG AA pass (R2 surfaces)</t>
  </si>
  <si>
    <t xml:space="preserve">R2 features</t>
  </si>
  <si>
    <t xml:space="preserve">Axe/Lighthouse budgets</t>
  </si>
  <si>
    <t xml:space="preserve">F-3.1</t>
  </si>
  <si>
    <t xml:space="preserve">AI Visibility / AEO monitoring (add-on $99)</t>
  </si>
  <si>
    <t xml:space="preserve">Brand/AEO</t>
  </si>
  <si>
    <t xml:space="preserve">R3</t>
  </si>
  <si>
    <t xml:space="preserve">v3.0</t>
  </si>
  <si>
    <t xml:space="preserve">M7-9</t>
  </si>
  <si>
    <t xml:space="preserve">DP-R3-01</t>
  </si>
  <si>
    <t xml:space="preserve">ai_visibility</t>
  </si>
  <si>
    <t xml:space="preserve">Add-on</t>
  </si>
  <si>
    <t xml:space="preserve">R2-RC</t>
  </si>
  <si>
    <t xml:space="preserve">Attach rate; runs completed</t>
  </si>
  <si>
    <t xml:space="preserve">F-3.2</t>
  </si>
  <si>
    <t xml:space="preserve">Brand Intelligence / Share-of-Voice engine</t>
  </si>
  <si>
    <t xml:space="preserve">DP-R3-02</t>
  </si>
  <si>
    <t xml:space="preserve">brand_intel</t>
  </si>
  <si>
    <t xml:space="preserve">Business+</t>
  </si>
  <si>
    <t xml:space="preserve">Dashboard DAU; incidents opened</t>
  </si>
  <si>
    <t xml:space="preserve">F-3.3</t>
  </si>
  <si>
    <t xml:space="preserve">Verified contact enrichment (trigger-gated)</t>
  </si>
  <si>
    <t xml:space="preserve">DP-R3-03</t>
  </si>
  <si>
    <t xml:space="preserve">verified_enrichment</t>
  </si>
  <si>
    <t xml:space="preserve">F-1.4; GTM trigger</t>
  </si>
  <si>
    <t xml:space="preserve">Verified rate; bounce feedback</t>
  </si>
  <si>
    <t xml:space="preserve">F-3.4</t>
  </si>
  <si>
    <t xml:space="preserve">Social Posts Writer &amp; thread generator</t>
  </si>
  <si>
    <t xml:space="preserve">Content</t>
  </si>
  <si>
    <t xml:space="preserve">DP-R3-04</t>
  </si>
  <si>
    <t xml:space="preserve">content_writer</t>
  </si>
  <si>
    <t xml:space="preserve">Drafts created/exported</t>
  </si>
  <si>
    <t xml:space="preserve">F-3.5</t>
  </si>
  <si>
    <t xml:space="preserve">Community Moderator ($29/seat)</t>
  </si>
  <si>
    <t xml:space="preserve">DP-R3-05</t>
  </si>
  <si>
    <t xml:space="preserve">moderator</t>
  </si>
  <si>
    <t xml:space="preserve">Support/CM</t>
  </si>
  <si>
    <t xml:space="preserve">Flags; approved replies</t>
  </si>
  <si>
    <t xml:space="preserve">F-3.6</t>
  </si>
  <si>
    <t xml:space="preserve">LinkedIn/IG/FB public sources (spike-gated)</t>
  </si>
  <si>
    <t xml:space="preserve">DP-R3-06</t>
  </si>
  <si>
    <t xml:space="preserve">sources_v3</t>
  </si>
  <si>
    <t xml:space="preserve">F-2.9; spike ADR</t>
  </si>
  <si>
    <t xml:space="preserve">Cleared sources live</t>
  </si>
  <si>
    <t xml:space="preserve">F-3.7</t>
  </si>
  <si>
    <t xml:space="preserve">Influencer discovery &amp; reach mapping</t>
  </si>
  <si>
    <t xml:space="preserve">Influencer views</t>
  </si>
  <si>
    <t xml:space="preserve">F-3.8</t>
  </si>
  <si>
    <t xml:space="preserve">Campaign performance tracking</t>
  </si>
  <si>
    <t xml:space="preserve">DP-R3-07</t>
  </si>
  <si>
    <t xml:space="preserve">campaigns_gallery</t>
  </si>
  <si>
    <t xml:space="preserve">Campaigns created</t>
  </si>
  <si>
    <t xml:space="preserve">F-3.9</t>
  </si>
  <si>
    <t xml:space="preserve">Community template gallery + submissions</t>
  </si>
  <si>
    <t xml:space="preserve">Submissions approved; SEO pages</t>
  </si>
  <si>
    <t xml:space="preserve">F-4.1</t>
  </si>
  <si>
    <t xml:space="preserve">Team workspaces + RBAC + audit logs</t>
  </si>
  <si>
    <t xml:space="preserve">R4</t>
  </si>
  <si>
    <t xml:space="preserve">v3.5</t>
  </si>
  <si>
    <t xml:space="preserve">M10-12</t>
  </si>
  <si>
    <t xml:space="preserve">DP-R4-01</t>
  </si>
  <si>
    <t xml:space="preserve">teams_rbac</t>
  </si>
  <si>
    <t xml:space="preserve">Teams, Agencies</t>
  </si>
  <si>
    <t xml:space="preserve">R3-RC</t>
  </si>
  <si>
    <t xml:space="preserve">Policy matrix green; audit coverage &gt;=95%</t>
  </si>
  <si>
    <t xml:space="preserve">F-4.2</t>
  </si>
  <si>
    <t xml:space="preserve">SSO/SAML + SOC 2 Type II + privacy posture</t>
  </si>
  <si>
    <t xml:space="preserve">DP-R4-02</t>
  </si>
  <si>
    <t xml:space="preserve">enterprise_auth</t>
  </si>
  <si>
    <t xml:space="preserve">DS, MM</t>
  </si>
  <si>
    <t xml:space="preserve">F-4.1,F-2.10</t>
  </si>
  <si>
    <t xml:space="preserve">SOC 2 issued; first enforced-SSO ws</t>
  </si>
  <si>
    <t xml:space="preserve">F-4.3</t>
  </si>
  <si>
    <t xml:space="preserve">Self-healing extraction + validation layer</t>
  </si>
  <si>
    <t xml:space="preserve">DP-R4-03</t>
  </si>
  <si>
    <t xml:space="preserve">self_healing</t>
  </si>
  <si>
    <t xml:space="preserve">Auto-repair rate &gt;=85% on fixtures</t>
  </si>
  <si>
    <t xml:space="preserve">F-4.4</t>
  </si>
  <si>
    <t xml:space="preserve">Salesforce + Pipedrive connectors</t>
  </si>
  <si>
    <t xml:space="preserve">DP-R4-04</t>
  </si>
  <si>
    <t xml:space="preserve">crm_wave2</t>
  </si>
  <si>
    <t xml:space="preserve">Enterprise, EMEA</t>
  </si>
  <si>
    <t xml:space="preserve">Syncs; AppExchange status</t>
  </si>
  <si>
    <t xml:space="preserve">F-4.5</t>
  </si>
  <si>
    <t xml:space="preserve">Executive Intelligence module ($199 add-on)</t>
  </si>
  <si>
    <t xml:space="preserve">Executive</t>
  </si>
  <si>
    <t xml:space="preserve">DP-R4-05</t>
  </si>
  <si>
    <t xml:space="preserve">exec_intel</t>
  </si>
  <si>
    <t xml:space="preserve">Founder, C-suite</t>
  </si>
  <si>
    <t xml:space="preserve">F-2.1,F-2.4,F-3.2</t>
  </si>
  <si>
    <t xml:space="preserve">Briefs generated; founder weekly use</t>
  </si>
  <si>
    <t xml:space="preserve">F-4.6</t>
  </si>
  <si>
    <t xml:space="preserve">Anomaly hardening + PagerDuty + SLOs</t>
  </si>
  <si>
    <t xml:space="preserve">Ops</t>
  </si>
  <si>
    <t xml:space="preserve">DP-R4-06</t>
  </si>
  <si>
    <t xml:space="preserve">ops_enterprise</t>
  </si>
  <si>
    <t xml:space="preserve">SLO dashboard live</t>
  </si>
  <si>
    <t xml:space="preserve">F-4.7</t>
  </si>
  <si>
    <t xml:space="preserve">Dedicated proxy pools + data residency (EU/India)</t>
  </si>
  <si>
    <t xml:space="preserve">DS, CO</t>
  </si>
  <si>
    <t xml:space="preserve">Residency-pinned workspace verified</t>
  </si>
  <si>
    <t xml:space="preserve">F-4.8</t>
  </si>
  <si>
    <t xml:space="preserve">Admin console v2 (flag targeting, impersonation)</t>
  </si>
  <si>
    <t xml:space="preserve">DP-R4-07</t>
  </si>
  <si>
    <t xml:space="preserve">customer_intel</t>
  </si>
  <si>
    <t xml:space="preserve">Support resolution time down</t>
  </si>
  <si>
    <t xml:space="preserve">F-4.9</t>
  </si>
  <si>
    <t xml:space="preserve">Customer Intelligence v1 (reviews/tickets/NPS)</t>
  </si>
  <si>
    <t xml:space="preserve">Customer</t>
  </si>
  <si>
    <t xml:space="preserve">Product, CS</t>
  </si>
  <si>
    <t xml:space="preserve">Sources ingested; risks flagged</t>
  </si>
  <si>
    <t xml:space="preserve">F-5.2</t>
  </si>
  <si>
    <t xml:space="preserve">Knowledge Graph foundation (built first)</t>
  </si>
  <si>
    <t xml:space="preserve">Graph</t>
  </si>
  <si>
    <t xml:space="preserve">R5</t>
  </si>
  <si>
    <t xml:space="preserve">v4.0</t>
  </si>
  <si>
    <t xml:space="preserve">Year 2</t>
  </si>
  <si>
    <t xml:space="preserve">DP-R5-01</t>
  </si>
  <si>
    <t xml:space="preserve">knowledge_graph</t>
  </si>
  <si>
    <t xml:space="preserve">R4-RC gate</t>
  </si>
  <si>
    <t xml:space="preserve">Resolution precision; entity pages</t>
  </si>
  <si>
    <t xml:space="preserve">F-5.1</t>
  </si>
  <si>
    <t xml:space="preserve">Autonomous AI Agents (approval-gated)</t>
  </si>
  <si>
    <t xml:space="preserve">Agents</t>
  </si>
  <si>
    <t xml:space="preserve">DP-R5-02</t>
  </si>
  <si>
    <t xml:space="preserve">agents</t>
  </si>
  <si>
    <t xml:space="preserve">F-5.2,F-2.2</t>
  </si>
  <si>
    <t xml:space="preserve">Agent runs; approval rate</t>
  </si>
  <si>
    <t xml:space="preserve">F-5.4</t>
  </si>
  <si>
    <t xml:space="preserve">Multi-modal ingestion (PDF/DOCX/CSV/AV/email)</t>
  </si>
  <si>
    <t xml:space="preserve">Ingest</t>
  </si>
  <si>
    <t xml:space="preserve">DP-R5-03</t>
  </si>
  <si>
    <t xml:space="preserve">multimodal</t>
  </si>
  <si>
    <t xml:space="preserve">Files processed by format</t>
  </si>
  <si>
    <t xml:space="preserve">F-5.5</t>
  </si>
  <si>
    <t xml:space="preserve">Market Intelligence module (TAM/SAM/SOM, maps)</t>
  </si>
  <si>
    <t xml:space="preserve">Market</t>
  </si>
  <si>
    <t xml:space="preserve">DP-R5-04</t>
  </si>
  <si>
    <t xml:space="preserve">market_intel</t>
  </si>
  <si>
    <t xml:space="preserve">Strategy</t>
  </si>
  <si>
    <t xml:space="preserve">Maps generated</t>
  </si>
  <si>
    <t xml:space="preserve">F-5.6</t>
  </si>
  <si>
    <t xml:space="preserve">Risk Intelligence (vendor/cyber/compliance/ESG)</t>
  </si>
  <si>
    <t xml:space="preserve">Risk</t>
  </si>
  <si>
    <t xml:space="preserve">DP-R5-05</t>
  </si>
  <si>
    <t xml:space="preserve">risk_intel</t>
  </si>
  <si>
    <t xml:space="preserve">BFSI, Enterprise</t>
  </si>
  <si>
    <t xml:space="preserve">Pilot partners live</t>
  </si>
  <si>
    <t xml:space="preserve">F-5.3</t>
  </si>
  <si>
    <t xml:space="preserve">Virality prediction &amp; trend forecasting</t>
  </si>
  <si>
    <t xml:space="preserve">DP-R5-06</t>
  </si>
  <si>
    <t xml:space="preserve">platform_economy</t>
  </si>
  <si>
    <t xml:space="preserve">Forecast accuracy tracked</t>
  </si>
  <si>
    <t xml:space="preserve">F-5.7</t>
  </si>
  <si>
    <t xml:space="preserve">Sub-product packaging (standalone SKUs)</t>
  </si>
  <si>
    <t xml:space="preserve">Council review</t>
  </si>
  <si>
    <t xml:space="preserve">SKU checkout E2E</t>
  </si>
  <si>
    <t xml:space="preserve">F-5.8</t>
  </si>
  <si>
    <t xml:space="preserve">Marketplace &amp; partner ecosystem</t>
  </si>
  <si>
    <t xml:space="preserve">Partners</t>
  </si>
  <si>
    <t xml:space="preserve">First partner listing</t>
  </si>
  <si>
    <t xml:space="preserve">Order</t>
  </si>
  <si>
    <t xml:space="preserve">Title</t>
  </si>
  <si>
    <t xml:space="preserve">Run After</t>
  </si>
  <si>
    <t xml:space="preserve">Features Covered</t>
  </si>
  <si>
    <t xml:space="preserve">Run Date</t>
  </si>
  <si>
    <t xml:space="preserve">Agent/Runner</t>
  </si>
  <si>
    <t xml:space="preserve">Result Notes</t>
  </si>
  <si>
    <t xml:space="preserve">Platform bootstrap</t>
  </si>
  <si>
    <t xml:space="preserve">F-000, F-0.9</t>
  </si>
  <si>
    <t xml:space="preserve">SSR result permalinks</t>
  </si>
  <si>
    <t xml:space="preserve">Export JSON/CSV/MD</t>
  </si>
  <si>
    <t xml:space="preserve">REST API v1 + keys + docs</t>
  </si>
  <si>
    <t xml:space="preserve">Persona landing routes</t>
  </si>
  <si>
    <t xml:space="preserve">DP-R0-01,04</t>
  </si>
  <si>
    <t xml:space="preserve">History &amp; collections</t>
  </si>
  <si>
    <t xml:space="preserve">Changelog + docs hub + launch ops</t>
  </si>
  <si>
    <t xml:space="preserve">Webhooks v1</t>
  </si>
  <si>
    <t xml:space="preserve">Rebrand rollout</t>
  </si>
  <si>
    <t xml:space="preserve">Analytics foundation</t>
  </si>
  <si>
    <t xml:space="preserve">DP-R0-RC</t>
  </si>
  <si>
    <t xml:space="preserve">Release cut v1.1</t>
  </si>
  <si>
    <t xml:space="preserve">v1.1.2</t>
  </si>
  <si>
    <t xml:space="preserve">All R0</t>
  </si>
  <si>
    <t xml:space="preserve">Social ingestion pipeline</t>
  </si>
  <si>
    <t xml:space="preserve">Sentiment + intent classification</t>
  </si>
  <si>
    <t xml:space="preserve">Social dashboard &amp; feed</t>
  </si>
  <si>
    <t xml:space="preserve">Keywords + onboarding wizard</t>
  </si>
  <si>
    <t xml:space="preserve">Alert engine &amp; notifications</t>
  </si>
  <si>
    <t xml:space="preserve">Stripe billing + tiers + gates</t>
  </si>
  <si>
    <t xml:space="preserve">Connector framework + HubSpot + Apollo</t>
  </si>
  <si>
    <t xml:space="preserve">v2.0.1</t>
  </si>
  <si>
    <t xml:space="preserve">DP-R1-06,02</t>
  </si>
  <si>
    <t xml:space="preserve">F-1.3, F-1.4, F-1.6</t>
  </si>
  <si>
    <t xml:space="preserve">Backfill + competitive tracking + charts</t>
  </si>
  <si>
    <t xml:space="preserve">F-1.8, F-1.10</t>
  </si>
  <si>
    <t xml:space="preserve">Change-detection alerts</t>
  </si>
  <si>
    <t xml:space="preserve">DP-R0-08, DP-R1-05</t>
  </si>
  <si>
    <t xml:space="preserve">Usage dashboard + digests</t>
  </si>
  <si>
    <t xml:space="preserve">v2.0.2</t>
  </si>
  <si>
    <t xml:space="preserve">DP-R1-06,09</t>
  </si>
  <si>
    <t xml:space="preserve">F-1.7, F-1.9</t>
  </si>
  <si>
    <t xml:space="preserve">Semantic-fallback parsing</t>
  </si>
  <si>
    <t xml:space="preserve">Analytics deep-dive + admin v1</t>
  </si>
  <si>
    <t xml:space="preserve">Polish: perf, a11y, mobile</t>
  </si>
  <si>
    <t xml:space="preserve">v2.0.3</t>
  </si>
  <si>
    <t xml:space="preserve">DP-R1-RC</t>
  </si>
  <si>
    <t xml:space="preserve">Release cut v2.0</t>
  </si>
  <si>
    <t xml:space="preserve">MCP server</t>
  </si>
  <si>
    <t xml:space="preserve">Calendly pre-meeting briefs</t>
  </si>
  <si>
    <t xml:space="preserve">v2.5.1</t>
  </si>
  <si>
    <t xml:space="preserve">DP-R2-01, DP-R1-07</t>
  </si>
  <si>
    <t xml:space="preserve">Competitive Intelligence + battlecards</t>
  </si>
  <si>
    <t xml:space="preserve">DP-R1-09, DP-R2-01</t>
  </si>
  <si>
    <t xml:space="preserve">Extraction templates</t>
  </si>
  <si>
    <t xml:space="preserve">v2.5.2</t>
  </si>
  <si>
    <t xml:space="preserve">Zapier/Make/Sheets/Airtable</t>
  </si>
  <si>
    <t xml:space="preserve">DP-R0-08, DP-R1-07</t>
  </si>
  <si>
    <t xml:space="preserve">Slack/Teams + Research Workspace</t>
  </si>
  <si>
    <t xml:space="preserve">v2.5.3</t>
  </si>
  <si>
    <t xml:space="preserve">F-2.7, F-2.8</t>
  </si>
  <si>
    <t xml:space="preserve">Sources v2 + compliance + quality</t>
  </si>
  <si>
    <t xml:space="preserve">F-2.9, F-2.10, F-2.11</t>
  </si>
  <si>
    <t xml:space="preserve">DP-R2-RC</t>
  </si>
  <si>
    <t xml:space="preserve">Release cut v2.5</t>
  </si>
  <si>
    <t xml:space="preserve">All R2</t>
  </si>
  <si>
    <t xml:space="preserve">AI Visibility / AEO monitoring</t>
  </si>
  <si>
    <t xml:space="preserve">Brand Intelligence / SoV</t>
  </si>
  <si>
    <t xml:space="preserve">Verified enrichment (trigger-gated)</t>
  </si>
  <si>
    <t xml:space="preserve">v3.0.1</t>
  </si>
  <si>
    <t xml:space="preserve">DP-R1-07 + trigger</t>
  </si>
  <si>
    <t xml:space="preserve">Social Posts Writer</t>
  </si>
  <si>
    <t xml:space="preserve">Community Moderator</t>
  </si>
  <si>
    <t xml:space="preserve">v3.0.2</t>
  </si>
  <si>
    <t xml:space="preserve">Sources v3 (spike-gated) + influencers</t>
  </si>
  <si>
    <t xml:space="preserve">F-3.6, F-3.7</t>
  </si>
  <si>
    <t xml:space="preserve">Campaigns + community gallery</t>
  </si>
  <si>
    <t xml:space="preserve">v3.0.3</t>
  </si>
  <si>
    <t xml:space="preserve">DP-R3-02, DP-R2-05</t>
  </si>
  <si>
    <t xml:space="preserve">F-3.8, F-3.9</t>
  </si>
  <si>
    <t xml:space="preserve">DP-R3-RC</t>
  </si>
  <si>
    <t xml:space="preserve">Release cut v3.0</t>
  </si>
  <si>
    <t xml:space="preserve">All R3</t>
  </si>
  <si>
    <t xml:space="preserve">Teams + RBAC + audit</t>
  </si>
  <si>
    <t xml:space="preserve">SSO + SOC 2 + privacy</t>
  </si>
  <si>
    <t xml:space="preserve">Self-healing extraction</t>
  </si>
  <si>
    <t xml:space="preserve">v3.5.1</t>
  </si>
  <si>
    <t xml:space="preserve">Salesforce + Pipedrive</t>
  </si>
  <si>
    <t xml:space="preserve">Executive Intelligence</t>
  </si>
  <si>
    <t xml:space="preserve">v3.5.2</t>
  </si>
  <si>
    <t xml:space="preserve">DP-R2-01,04; DP-R3-02</t>
  </si>
  <si>
    <t xml:space="preserve">Ops hardening + residency</t>
  </si>
  <si>
    <t xml:space="preserve">F-4.6, F-4.7</t>
  </si>
  <si>
    <t xml:space="preserve">Customer Intelligence + admin v2</t>
  </si>
  <si>
    <t xml:space="preserve">v3.5.3</t>
  </si>
  <si>
    <t xml:space="preserve">F-4.8, F-4.9</t>
  </si>
  <si>
    <t xml:space="preserve">DP-R4-RC</t>
  </si>
  <si>
    <t xml:space="preserve">Release cut v3.5 + R5 gate</t>
  </si>
  <si>
    <t xml:space="preserve">All R4</t>
  </si>
  <si>
    <t xml:space="preserve">Knowledge Graph foundation</t>
  </si>
  <si>
    <t xml:space="preserve">Autonomous AI Agents</t>
  </si>
  <si>
    <t xml:space="preserve">Multi-modal ingestion</t>
  </si>
  <si>
    <t xml:space="preserve">v4.0.1</t>
  </si>
  <si>
    <t xml:space="preserve">Market Intelligence</t>
  </si>
  <si>
    <t xml:space="preserve">Risk Intelligence</t>
  </si>
  <si>
    <t xml:space="preserve">v4.0.2</t>
  </si>
  <si>
    <t xml:space="preserve">SKUs + marketplace + forecasting</t>
  </si>
  <si>
    <t xml:space="preserve">v4.0.3</t>
  </si>
  <si>
    <t xml:space="preserve">F-5.3, F-5.7, F-5.8</t>
  </si>
  <si>
    <t xml:space="preserve">DP-R5-RC</t>
  </si>
  <si>
    <t xml:space="preserve">Release cut v4.0 + council re-convene</t>
  </si>
  <si>
    <t xml:space="preserve">All R5</t>
  </si>
  <si>
    <t xml:space="preserve">Window</t>
  </si>
  <si>
    <t xml:space="preserve">Theme</t>
  </si>
  <si>
    <t xml:space="preserve">Revenue Event</t>
  </si>
  <si>
    <t xml:space="preserve"># Features (auto)</t>
  </si>
  <si>
    <t xml:space="preserve">Est PD (auto)</t>
  </si>
  <si>
    <t xml:space="preserve">Exit Criteria</t>
  </si>
  <si>
    <t xml:space="preserve">Actual Ship Date</t>
  </si>
  <si>
    <t xml:space="preserve">Weeks 1-4</t>
  </si>
  <si>
    <t xml:space="preserve">Foundation &amp; Visibility</t>
  </si>
  <si>
    <t xml:space="preserve">— (acquisition engine)</t>
  </si>
  <si>
    <t xml:space="preserve">&gt;50 indexed pages; activation &gt;=20%; organic baseline; API documented</t>
  </si>
  <si>
    <t xml:space="preserve">Weeks 5-12</t>
  </si>
  <si>
    <t xml:space="preserve">Platform Launch: Social + Connectors + Monetization</t>
  </si>
  <si>
    <t xml:space="preserve">Paid tiers go live</t>
  </si>
  <si>
    <t xml:space="preserve">Free-&gt;paid &gt;=3%; WAU/MAU -&gt;40%; 50 paying workspaces; churn &lt;5%</t>
  </si>
  <si>
    <t xml:space="preserve">Months 4-6</t>
  </si>
  <si>
    <t xml:space="preserve">Competitive &amp; Company Intelligence</t>
  </si>
  <si>
    <t xml:space="preserve">Pro-tier expansion</t>
  </si>
  <si>
    <t xml:space="preserve">WAU/MAU &gt;=40%; D30 retention lift from alerts; Pro mix growing</t>
  </si>
  <si>
    <t xml:space="preserve">Months 7-9</t>
  </si>
  <si>
    <t xml:space="preserve">Brand, AI Visibility &amp; Content Engine</t>
  </si>
  <si>
    <t xml:space="preserve">Add-on revenue begins</t>
  </si>
  <si>
    <t xml:space="preserve">Free-&gt;paid &gt;=5%; add-on attach &gt;=15%</t>
  </si>
  <si>
    <t xml:space="preserve">Months 10-12</t>
  </si>
  <si>
    <t xml:space="preserve">Enterprise, Trust &amp; Reliability</t>
  </si>
  <si>
    <t xml:space="preserve">Enterprise tier opens</t>
  </si>
  <si>
    <t xml:space="preserve">First 5 enterprise logos; NRR &gt;=110%; SOC 2 issued</t>
  </si>
  <si>
    <t xml:space="preserve">Autonomous &amp; Predictive Intelligence</t>
  </si>
  <si>
    <t xml:space="preserve">Platform licensing</t>
  </si>
  <si>
    <t xml:space="preserve">Gate: WAU/MAU &gt;=45% &amp; churn &lt;=3% at R4-RC</t>
  </si>
  <si>
    <t xml:space="preserve">TOTAL</t>
  </si>
  <si>
    <t xml:space="preserve">Feature(s)</t>
  </si>
  <si>
    <t xml:space="preserve">Feature Doc</t>
  </si>
  <si>
    <t xml:space="preserve">Help Article(s)</t>
  </si>
  <si>
    <t xml:space="preserve">Use Case</t>
  </si>
  <si>
    <t xml:space="preserve">Changelog Entry</t>
  </si>
  <si>
    <t xml:space="preserve">Launch Blog</t>
  </si>
  <si>
    <t xml:space="preserve">Runbook</t>
  </si>
  <si>
    <t xml:space="preserve">API Ref Update</t>
  </si>
  <si>
    <t xml:space="preserve">In-App Copy</t>
  </si>
  <si>
    <t xml:space="preserve">Required</t>
  </si>
  <si>
    <t xml:space="preserve">Section in release post</t>
  </si>
  <si>
    <t xml:space="preserve">If worker/queue added</t>
  </si>
  <si>
    <t xml:space="preserve">If endpoints changed</t>
  </si>
  <si>
    <t xml:space="preserve">Yes</t>
  </si>
  <si>
    <t xml:space="preserve">N/A</t>
  </si>
  <si>
    <t xml:space="preserve">Assemble notes</t>
  </si>
  <si>
    <t xml:space="preserve">Yes (launch post)</t>
  </si>
  <si>
    <t xml:space="preserve">What's-new modal</t>
  </si>
  <si>
    <t xml:space="preserve">ID</t>
  </si>
  <si>
    <t xml:space="preserve">Type</t>
  </si>
  <si>
    <t xml:space="preserve">Description</t>
  </si>
  <si>
    <t xml:space="preserve">Release/Prompt</t>
  </si>
  <si>
    <t xml:space="preserve">Severity</t>
  </si>
  <si>
    <t xml:space="preserve">Likelihood</t>
  </si>
  <si>
    <t xml:space="preserve">Mitigation / Action</t>
  </si>
  <si>
    <t xml:space="preserve">Date Raised</t>
  </si>
  <si>
    <t xml:space="preserve">Date Closed</t>
  </si>
  <si>
    <t xml:space="preserve">R-01</t>
  </si>
  <si>
    <t xml:space="preserve">X/Twitter API pricing or limit changes break Social economics</t>
  </si>
  <si>
    <t xml:space="preserve">R1 / DP-R1-01</t>
  </si>
  <si>
    <t xml:space="preserve">High</t>
  </si>
  <si>
    <t xml:space="preserve">Medium</t>
  </si>
  <si>
    <t xml:space="preserve">Reddit+RSS-first value; X Pro-gated; collector-level quotas; monitor monthly</t>
  </si>
  <si>
    <t xml:space="preserve">Open</t>
  </si>
  <si>
    <t xml:space="preserve">2026-08-06</t>
  </si>
  <si>
    <t xml:space="preserve">R-02</t>
  </si>
  <si>
    <t xml:space="preserve">HubSpot App Marketplace approval delays connector GA</t>
  </si>
  <si>
    <t xml:space="preserve">R1 / DP-R1-07</t>
  </si>
  <si>
    <t xml:space="preserve">Applied Week 0; private-app fallback for beta</t>
  </si>
  <si>
    <t xml:space="preserve">BE Lead</t>
  </si>
  <si>
    <t xml:space="preserve">R-03</t>
  </si>
  <si>
    <t xml:space="preserve">Classifier accuracy below gate (esp. hi/en code-mix)</t>
  </si>
  <si>
    <t xml:space="preserve">R1 / DP-R1-02</t>
  </si>
  <si>
    <t xml:space="preserve">Golden-set gate 80/70; hosted-LLM fallback pre-approved; feedback loop grows eval set</t>
  </si>
  <si>
    <t xml:space="preserve">ML</t>
  </si>
  <si>
    <t xml:space="preserve">R-04</t>
  </si>
  <si>
    <t xml:space="preserve">Programmatic SEO pages flagged as thin content</t>
  </si>
  <si>
    <t xml:space="preserve">R0 / DP-R0-05</t>
  </si>
  <si>
    <t xml:space="preserve">Quality gate; unique cached data per page; 100-page pilot + GSC watch</t>
  </si>
  <si>
    <t xml:space="preserve">R-05</t>
  </si>
  <si>
    <t xml:space="preserve">CRM write errors damage customer trust</t>
  </si>
  <si>
    <t xml:space="preserve">Low</t>
  </si>
  <si>
    <t xml:space="preserve">Dry-run default on first sync; per-field toggles; undo window; sync log</t>
  </si>
  <si>
    <t xml:space="preserve">R-06</t>
  </si>
  <si>
    <t xml:space="preserve">AEO provider ToS or API variability</t>
  </si>
  <si>
    <t xml:space="preserve">R3 / DP-R3-01</t>
  </si>
  <si>
    <t xml:space="preserve">Official APIs only; per-provider ADR; graceful degradation; public methodology</t>
  </si>
  <si>
    <t xml:space="preserve">PM</t>
  </si>
  <si>
    <t xml:space="preserve">R-07</t>
  </si>
  <si>
    <t xml:space="preserve">LinkedIn/Meta source access not granted</t>
  </si>
  <si>
    <t xml:space="preserve">R3 / DP-R3-06</t>
  </si>
  <si>
    <t xml:space="preserve">5-day spike gate; parallel partnership applications; roadmap honesty on marketing pages</t>
  </si>
  <si>
    <t xml:space="preserve">R-08</t>
  </si>
  <si>
    <t xml:space="preserve">Alert fatigue drives notification opt-out</t>
  </si>
  <si>
    <t xml:space="preserve">R1 / DP-R1-05</t>
  </si>
  <si>
    <t xml:space="preserve">30-min suppression; sane defaults; weekly digest default</t>
  </si>
  <si>
    <t xml:space="preserve">A-01</t>
  </si>
  <si>
    <t xml:space="preserve">Assumption</t>
  </si>
  <si>
    <t xml:space="preserve">Stack is Next.js + Supabase + Redis (per council ADR requirement, verify in DP-R0-00)</t>
  </si>
  <si>
    <t xml:space="preserve">ADR-001 records actual stack; prompts adapt</t>
  </si>
  <si>
    <t xml:space="preserve">Eng</t>
  </si>
  <si>
    <t xml:space="preserve">A-02</t>
  </si>
  <si>
    <t xml:space="preserve">Team of 3-5 engineers + designer available (or AI-agent equivalent capacity)</t>
  </si>
  <si>
    <t xml:space="preserve">Confirm with founder; prompt granularity supports solo+agents mode</t>
  </si>
  <si>
    <t xml:space="preserve">Founder</t>
  </si>
  <si>
    <t xml:space="preserve">A-03</t>
  </si>
  <si>
    <t xml:space="preserve">X API Basic budget ($100/mo) approved</t>
  </si>
  <si>
    <t xml:space="preserve">Founder sign-off before DP-R1-01</t>
  </si>
  <si>
    <t xml:space="preserve">D-01</t>
  </si>
  <si>
    <t xml:space="preserve">Dependency</t>
  </si>
  <si>
    <t xml:space="preserve">Stripe account + tax registration (India GST review)</t>
  </si>
  <si>
    <t xml:space="preserve">R1 / DP-R1-06</t>
  </si>
  <si>
    <t xml:space="preserve">Ops task flagged to founder; Stripe Tax enablement</t>
  </si>
  <si>
    <t xml:space="preserve">D-02</t>
  </si>
  <si>
    <t xml:space="preserve">Salesforce AppExchange security review lead time</t>
  </si>
  <si>
    <t xml:space="preserve">R4 / DP-R4-04</t>
  </si>
  <si>
    <t xml:space="preserve">File during R3</t>
  </si>
  <si>
    <t xml:space="preserve">D-03</t>
  </si>
  <si>
    <t xml:space="preserve">SOC 2 auditor engagement</t>
  </si>
  <si>
    <t xml:space="preserve">R4 / DP-R4-02</t>
  </si>
  <si>
    <t xml:space="preserve">Evidence collection from R2; auditor selection at R3-RC</t>
  </si>
  <si>
    <t xml:space="preserve">I-01</t>
  </si>
  <si>
    <t xml:space="preserve">Issue</t>
  </si>
  <si>
    <t xml:space="preserve">Live site SPA still serves only head metadata to crawlers (confirmed Aug 2026)</t>
  </si>
  <si>
    <t xml:space="preserve">R0 / DP-R0-01</t>
  </si>
  <si>
    <t xml:space="preserve">Resolved by permalinks + SSR work in R0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</si>
</sst>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FFFF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293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F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1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s">
        <v>3</v>
      </c>
    </row>
    <row r="5" customFormat="false" ht="23.85" hidden="false" customHeight="false" outlineLevel="0" collapsed="false">
      <c r="A5" s="3" t="s">
        <v>4</v>
      </c>
      <c r="B5" s="4" t="s">
        <v>5</v>
      </c>
    </row>
    <row r="6" customFormat="false" ht="15" hidden="false" customHeight="false" outlineLevel="0" collapsed="false">
      <c r="A6" s="3" t="s">
        <v>6</v>
      </c>
      <c r="B6" s="4" t="s">
        <v>7</v>
      </c>
    </row>
    <row r="7" customFormat="false" ht="15" hidden="false" customHeight="false" outlineLevel="0" collapsed="false">
      <c r="A7" s="3" t="s">
        <v>8</v>
      </c>
      <c r="B7" s="4" t="s">
        <v>9</v>
      </c>
    </row>
    <row r="8" customFormat="false" ht="15" hidden="false" customHeight="false" outlineLevel="0" collapsed="false">
      <c r="A8" s="3" t="s">
        <v>10</v>
      </c>
      <c r="B8" s="4" t="s">
        <v>11</v>
      </c>
    </row>
    <row r="9" customFormat="false" ht="15" hidden="false" customHeight="false" outlineLevel="0" collapsed="false">
      <c r="A9" s="3" t="s">
        <v>12</v>
      </c>
      <c r="B9" s="4" t="s">
        <v>13</v>
      </c>
    </row>
    <row r="10" customFormat="false" ht="15" hidden="false" customHeight="false" outlineLevel="0" collapsed="false">
      <c r="A10" s="3"/>
      <c r="B10" s="4"/>
    </row>
    <row r="11" customFormat="false" ht="15" hidden="false" customHeight="false" outlineLevel="0" collapsed="false">
      <c r="A11" s="3" t="s">
        <v>14</v>
      </c>
      <c r="B11" s="4" t="s">
        <v>15</v>
      </c>
    </row>
    <row r="12" customFormat="false" ht="15" hidden="false" customHeight="false" outlineLevel="0" collapsed="false">
      <c r="A12" s="3" t="s">
        <v>16</v>
      </c>
      <c r="B12" s="4" t="s">
        <v>17</v>
      </c>
    </row>
    <row r="13" customFormat="false" ht="23.85" hidden="false" customHeight="false" outlineLevel="0" collapsed="false">
      <c r="A13" s="3" t="s">
        <v>18</v>
      </c>
      <c r="B13" s="4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44"/>
    <col collapsed="false" customWidth="true" hidden="false" outlineLevel="0" max="3" min="3" style="0" width="12"/>
    <col collapsed="false" customWidth="true" hidden="false" outlineLevel="0" max="4" min="4" style="0" width="7"/>
    <col collapsed="false" customWidth="true" hidden="false" outlineLevel="0" max="5" min="5" style="0" width="8"/>
    <col collapsed="false" customWidth="true" hidden="false" outlineLevel="0" max="6" min="6" style="0" width="12"/>
    <col collapsed="false" customWidth="true" hidden="false" outlineLevel="0" max="7" min="7" style="0" width="11"/>
    <col collapsed="false" customWidth="true" hidden="false" outlineLevel="0" max="8" min="8" style="0" width="17"/>
    <col collapsed="false" customWidth="true" hidden="false" outlineLevel="0" max="9" min="9" style="0" width="13"/>
    <col collapsed="false" customWidth="true" hidden="false" outlineLevel="0" max="10" min="10" style="0" width="10"/>
    <col collapsed="false" customWidth="true" hidden="false" outlineLevel="0" max="11" min="11" style="0" width="18"/>
    <col collapsed="false" customWidth="true" hidden="false" outlineLevel="0" max="12" min="12" style="0" width="10"/>
    <col collapsed="false" customWidth="true" hidden="false" outlineLevel="0" max="13" min="13" style="0" width="7"/>
    <col collapsed="false" customWidth="true" hidden="false" outlineLevel="0" max="14" min="14" style="0" width="16"/>
    <col collapsed="false" customWidth="true" hidden="false" outlineLevel="0" max="15" min="15" style="0" width="30"/>
    <col collapsed="false" customWidth="true" hidden="false" outlineLevel="0" max="16" min="16" style="0" width="12"/>
    <col collapsed="false" customWidth="true" hidden="false" outlineLevel="0" max="19" min="17" style="0" width="9"/>
    <col collapsed="false" customWidth="true" hidden="false" outlineLevel="0" max="20" min="20" style="0" width="10"/>
    <col collapsed="false" customWidth="true" hidden="false" outlineLevel="0" max="21" min="21" style="0" width="12"/>
    <col collapsed="false" customWidth="true" hidden="false" outlineLevel="0" max="22" min="22" style="0" width="11"/>
    <col collapsed="false" customWidth="true" hidden="false" outlineLevel="0" max="23" min="23" style="0" width="26"/>
  </cols>
  <sheetData>
    <row r="1" customFormat="false" ht="35.05" hidden="false" customHeight="false" outlineLevel="0" collapsed="false">
      <c r="A1" s="5" t="s">
        <v>20</v>
      </c>
      <c r="B1" s="5" t="s">
        <v>21</v>
      </c>
      <c r="C1" s="5" t="s">
        <v>22</v>
      </c>
      <c r="D1" s="5" t="s">
        <v>23</v>
      </c>
      <c r="E1" s="5" t="s">
        <v>24</v>
      </c>
      <c r="F1" s="5" t="s">
        <v>25</v>
      </c>
      <c r="G1" s="5" t="s">
        <v>26</v>
      </c>
      <c r="H1" s="5" t="s">
        <v>27</v>
      </c>
      <c r="I1" s="5" t="s">
        <v>28</v>
      </c>
      <c r="J1" s="5" t="s">
        <v>29</v>
      </c>
      <c r="K1" s="5" t="s">
        <v>30</v>
      </c>
      <c r="L1" s="5" t="s">
        <v>31</v>
      </c>
      <c r="M1" s="5" t="s">
        <v>32</v>
      </c>
      <c r="N1" s="5" t="s">
        <v>33</v>
      </c>
      <c r="O1" s="5" t="s">
        <v>34</v>
      </c>
      <c r="P1" s="5" t="s">
        <v>35</v>
      </c>
      <c r="Q1" s="5" t="s">
        <v>36</v>
      </c>
      <c r="R1" s="5" t="s">
        <v>37</v>
      </c>
      <c r="S1" s="5" t="s">
        <v>38</v>
      </c>
      <c r="T1" s="5" t="s">
        <v>39</v>
      </c>
      <c r="U1" s="5" t="s">
        <v>40</v>
      </c>
      <c r="V1" s="5" t="s">
        <v>41</v>
      </c>
      <c r="W1" s="5" t="s">
        <v>42</v>
      </c>
    </row>
    <row r="2" customFormat="false" ht="23.85" hidden="false" customHeight="false" outlineLevel="0" collapsed="false">
      <c r="A2" s="6" t="s">
        <v>43</v>
      </c>
      <c r="B2" s="6" t="s">
        <v>44</v>
      </c>
      <c r="C2" s="6" t="s">
        <v>45</v>
      </c>
      <c r="D2" s="6" t="s">
        <v>46</v>
      </c>
      <c r="E2" s="6" t="s">
        <v>47</v>
      </c>
      <c r="F2" s="6" t="s">
        <v>48</v>
      </c>
      <c r="G2" s="6" t="s">
        <v>49</v>
      </c>
      <c r="H2" s="6" t="s">
        <v>50</v>
      </c>
      <c r="I2" s="6" t="s">
        <v>51</v>
      </c>
      <c r="J2" s="6"/>
      <c r="K2" s="6" t="s">
        <v>52</v>
      </c>
      <c r="L2" s="6" t="s">
        <v>50</v>
      </c>
      <c r="M2" s="6" t="n">
        <v>3</v>
      </c>
      <c r="N2" s="6" t="s">
        <v>53</v>
      </c>
      <c r="O2" s="6" t="s">
        <v>54</v>
      </c>
      <c r="P2" s="7" t="s">
        <v>55</v>
      </c>
      <c r="Q2" s="7"/>
      <c r="R2" s="7"/>
      <c r="S2" s="7"/>
      <c r="T2" s="7"/>
      <c r="U2" s="7"/>
      <c r="V2" s="7"/>
      <c r="W2" s="7"/>
    </row>
    <row r="3" customFormat="false" ht="15" hidden="false" customHeight="false" outlineLevel="0" collapsed="false">
      <c r="A3" s="6" t="s">
        <v>56</v>
      </c>
      <c r="B3" s="6" t="s">
        <v>57</v>
      </c>
      <c r="C3" s="6" t="s">
        <v>58</v>
      </c>
      <c r="D3" s="6" t="s">
        <v>46</v>
      </c>
      <c r="E3" s="6" t="s">
        <v>47</v>
      </c>
      <c r="F3" s="6" t="s">
        <v>48</v>
      </c>
      <c r="G3" s="6" t="s">
        <v>59</v>
      </c>
      <c r="H3" s="6" t="s">
        <v>60</v>
      </c>
      <c r="I3" s="6" t="s">
        <v>61</v>
      </c>
      <c r="J3" s="6" t="n">
        <v>4.55</v>
      </c>
      <c r="K3" s="6" t="s">
        <v>62</v>
      </c>
      <c r="L3" s="6" t="s">
        <v>63</v>
      </c>
      <c r="M3" s="6" t="n">
        <v>5</v>
      </c>
      <c r="N3" s="6" t="s">
        <v>43</v>
      </c>
      <c r="O3" s="6" t="s">
        <v>64</v>
      </c>
      <c r="P3" s="7" t="s">
        <v>55</v>
      </c>
      <c r="Q3" s="7"/>
      <c r="R3" s="7"/>
      <c r="S3" s="7"/>
      <c r="T3" s="7"/>
      <c r="U3" s="7"/>
      <c r="V3" s="7"/>
      <c r="W3" s="7"/>
    </row>
    <row r="4" customFormat="false" ht="15" hidden="false" customHeight="false" outlineLevel="0" collapsed="false">
      <c r="A4" s="6" t="s">
        <v>65</v>
      </c>
      <c r="B4" s="6" t="s">
        <v>66</v>
      </c>
      <c r="C4" s="6" t="s">
        <v>67</v>
      </c>
      <c r="D4" s="6" t="s">
        <v>46</v>
      </c>
      <c r="E4" s="6" t="s">
        <v>47</v>
      </c>
      <c r="F4" s="6" t="s">
        <v>48</v>
      </c>
      <c r="G4" s="6" t="s">
        <v>68</v>
      </c>
      <c r="H4" s="6" t="s">
        <v>69</v>
      </c>
      <c r="I4" s="6" t="s">
        <v>70</v>
      </c>
      <c r="J4" s="6" t="n">
        <v>4.5</v>
      </c>
      <c r="K4" s="6" t="s">
        <v>71</v>
      </c>
      <c r="L4" s="6" t="s">
        <v>63</v>
      </c>
      <c r="M4" s="6" t="n">
        <v>2</v>
      </c>
      <c r="N4" s="6" t="s">
        <v>43</v>
      </c>
      <c r="O4" s="6" t="s">
        <v>72</v>
      </c>
      <c r="P4" s="7" t="s">
        <v>55</v>
      </c>
      <c r="Q4" s="7"/>
      <c r="R4" s="7"/>
      <c r="S4" s="7"/>
      <c r="T4" s="7"/>
      <c r="U4" s="7"/>
      <c r="V4" s="7"/>
      <c r="W4" s="7"/>
    </row>
    <row r="5" customFormat="false" ht="15" hidden="false" customHeight="false" outlineLevel="0" collapsed="false">
      <c r="A5" s="6" t="s">
        <v>73</v>
      </c>
      <c r="B5" s="6" t="s">
        <v>74</v>
      </c>
      <c r="C5" s="6" t="s">
        <v>45</v>
      </c>
      <c r="D5" s="6" t="s">
        <v>46</v>
      </c>
      <c r="E5" s="6" t="s">
        <v>47</v>
      </c>
      <c r="F5" s="6" t="s">
        <v>48</v>
      </c>
      <c r="G5" s="6" t="s">
        <v>75</v>
      </c>
      <c r="H5" s="6" t="s">
        <v>76</v>
      </c>
      <c r="I5" s="6" t="s">
        <v>77</v>
      </c>
      <c r="J5" s="6" t="n">
        <v>4.4</v>
      </c>
      <c r="K5" s="6" t="s">
        <v>78</v>
      </c>
      <c r="L5" s="6" t="s">
        <v>79</v>
      </c>
      <c r="M5" s="6" t="n">
        <v>7</v>
      </c>
      <c r="N5" s="6" t="s">
        <v>65</v>
      </c>
      <c r="O5" s="6" t="s">
        <v>80</v>
      </c>
      <c r="P5" s="7" t="s">
        <v>55</v>
      </c>
      <c r="Q5" s="7"/>
      <c r="R5" s="7"/>
      <c r="S5" s="7"/>
      <c r="T5" s="7"/>
      <c r="U5" s="7"/>
      <c r="V5" s="7"/>
      <c r="W5" s="7"/>
    </row>
    <row r="6" customFormat="false" ht="15" hidden="false" customHeight="false" outlineLevel="0" collapsed="false">
      <c r="A6" s="6" t="s">
        <v>81</v>
      </c>
      <c r="B6" s="6" t="s">
        <v>82</v>
      </c>
      <c r="C6" s="6" t="s">
        <v>58</v>
      </c>
      <c r="D6" s="6" t="s">
        <v>46</v>
      </c>
      <c r="E6" s="6" t="s">
        <v>47</v>
      </c>
      <c r="F6" s="6" t="s">
        <v>48</v>
      </c>
      <c r="G6" s="6" t="s">
        <v>83</v>
      </c>
      <c r="H6" s="6" t="s">
        <v>84</v>
      </c>
      <c r="I6" s="6" t="s">
        <v>85</v>
      </c>
      <c r="J6" s="6" t="n">
        <v>4.3</v>
      </c>
      <c r="K6" s="6" t="s">
        <v>62</v>
      </c>
      <c r="L6" s="6" t="s">
        <v>50</v>
      </c>
      <c r="M6" s="6" t="n">
        <v>3</v>
      </c>
      <c r="N6" s="6" t="s">
        <v>56</v>
      </c>
      <c r="O6" s="6" t="s">
        <v>86</v>
      </c>
      <c r="P6" s="7" t="s">
        <v>55</v>
      </c>
      <c r="Q6" s="7"/>
      <c r="R6" s="7"/>
      <c r="S6" s="7"/>
      <c r="T6" s="7"/>
      <c r="U6" s="7"/>
      <c r="V6" s="7"/>
      <c r="W6" s="7"/>
    </row>
    <row r="7" customFormat="false" ht="15" hidden="false" customHeight="false" outlineLevel="0" collapsed="false">
      <c r="A7" s="6" t="s">
        <v>87</v>
      </c>
      <c r="B7" s="6" t="s">
        <v>88</v>
      </c>
      <c r="C7" s="6" t="s">
        <v>58</v>
      </c>
      <c r="D7" s="6" t="s">
        <v>46</v>
      </c>
      <c r="E7" s="6" t="s">
        <v>47</v>
      </c>
      <c r="F7" s="6" t="s">
        <v>48</v>
      </c>
      <c r="G7" s="6" t="s">
        <v>89</v>
      </c>
      <c r="H7" s="6" t="s">
        <v>90</v>
      </c>
      <c r="I7" s="6" t="s">
        <v>61</v>
      </c>
      <c r="J7" s="6" t="n">
        <v>4.2</v>
      </c>
      <c r="K7" s="6" t="s">
        <v>62</v>
      </c>
      <c r="L7" s="6" t="s">
        <v>50</v>
      </c>
      <c r="M7" s="6" t="n">
        <v>3</v>
      </c>
      <c r="N7" s="6" t="s">
        <v>91</v>
      </c>
      <c r="O7" s="6" t="s">
        <v>92</v>
      </c>
      <c r="P7" s="7" t="s">
        <v>55</v>
      </c>
      <c r="Q7" s="7"/>
      <c r="R7" s="7"/>
      <c r="S7" s="7"/>
      <c r="T7" s="7"/>
      <c r="U7" s="7"/>
      <c r="V7" s="7"/>
      <c r="W7" s="7"/>
    </row>
    <row r="8" customFormat="false" ht="15" hidden="false" customHeight="false" outlineLevel="0" collapsed="false">
      <c r="A8" s="6" t="s">
        <v>93</v>
      </c>
      <c r="B8" s="6" t="s">
        <v>94</v>
      </c>
      <c r="C8" s="6" t="s">
        <v>95</v>
      </c>
      <c r="D8" s="6" t="s">
        <v>46</v>
      </c>
      <c r="E8" s="6" t="s">
        <v>47</v>
      </c>
      <c r="F8" s="6" t="s">
        <v>48</v>
      </c>
      <c r="G8" s="6" t="s">
        <v>96</v>
      </c>
      <c r="H8" s="6" t="s">
        <v>97</v>
      </c>
      <c r="I8" s="6" t="s">
        <v>85</v>
      </c>
      <c r="J8" s="6" t="n">
        <v>4.15</v>
      </c>
      <c r="K8" s="6" t="s">
        <v>62</v>
      </c>
      <c r="L8" s="6" t="s">
        <v>63</v>
      </c>
      <c r="M8" s="6" t="n">
        <v>4</v>
      </c>
      <c r="N8" s="6" t="s">
        <v>43</v>
      </c>
      <c r="O8" s="6" t="s">
        <v>98</v>
      </c>
      <c r="P8" s="7" t="s">
        <v>55</v>
      </c>
      <c r="Q8" s="7"/>
      <c r="R8" s="7"/>
      <c r="S8" s="7"/>
      <c r="T8" s="7"/>
      <c r="U8" s="7"/>
      <c r="V8" s="7"/>
      <c r="W8" s="7"/>
    </row>
    <row r="9" customFormat="false" ht="15" hidden="false" customHeight="false" outlineLevel="0" collapsed="false">
      <c r="A9" s="6" t="s">
        <v>99</v>
      </c>
      <c r="B9" s="6" t="s">
        <v>100</v>
      </c>
      <c r="C9" s="6" t="s">
        <v>58</v>
      </c>
      <c r="D9" s="6" t="s">
        <v>46</v>
      </c>
      <c r="E9" s="6" t="s">
        <v>47</v>
      </c>
      <c r="F9" s="6" t="s">
        <v>48</v>
      </c>
      <c r="G9" s="6" t="s">
        <v>101</v>
      </c>
      <c r="H9" s="6" t="s">
        <v>102</v>
      </c>
      <c r="I9" s="6" t="s">
        <v>61</v>
      </c>
      <c r="J9" s="6" t="n">
        <v>4.1</v>
      </c>
      <c r="K9" s="6" t="s">
        <v>62</v>
      </c>
      <c r="L9" s="6" t="s">
        <v>50</v>
      </c>
      <c r="M9" s="6" t="n">
        <v>5</v>
      </c>
      <c r="N9" s="6" t="s">
        <v>43</v>
      </c>
      <c r="O9" s="6" t="s">
        <v>103</v>
      </c>
      <c r="P9" s="7" t="s">
        <v>55</v>
      </c>
      <c r="Q9" s="7"/>
      <c r="R9" s="7"/>
      <c r="S9" s="7"/>
      <c r="T9" s="7"/>
      <c r="U9" s="7"/>
      <c r="V9" s="7"/>
      <c r="W9" s="7"/>
    </row>
    <row r="10" customFormat="false" ht="15" hidden="false" customHeight="false" outlineLevel="0" collapsed="false">
      <c r="A10" s="6" t="s">
        <v>104</v>
      </c>
      <c r="B10" s="6" t="s">
        <v>105</v>
      </c>
      <c r="C10" s="6" t="s">
        <v>106</v>
      </c>
      <c r="D10" s="6" t="s">
        <v>46</v>
      </c>
      <c r="E10" s="6" t="s">
        <v>47</v>
      </c>
      <c r="F10" s="6" t="s">
        <v>48</v>
      </c>
      <c r="G10" s="6" t="s">
        <v>107</v>
      </c>
      <c r="H10" s="6" t="s">
        <v>108</v>
      </c>
      <c r="I10" s="6" t="s">
        <v>62</v>
      </c>
      <c r="J10" s="6" t="n">
        <v>4.1</v>
      </c>
      <c r="K10" s="6" t="s">
        <v>62</v>
      </c>
      <c r="L10" s="6" t="s">
        <v>50</v>
      </c>
      <c r="M10" s="6" t="n">
        <v>7</v>
      </c>
      <c r="N10" s="6" t="s">
        <v>81</v>
      </c>
      <c r="O10" s="6" t="s">
        <v>109</v>
      </c>
      <c r="P10" s="7" t="s">
        <v>55</v>
      </c>
      <c r="Q10" s="7"/>
      <c r="R10" s="7"/>
      <c r="S10" s="7"/>
      <c r="T10" s="7"/>
      <c r="U10" s="7"/>
      <c r="V10" s="7"/>
      <c r="W10" s="7"/>
    </row>
    <row r="11" customFormat="false" ht="15" hidden="false" customHeight="false" outlineLevel="0" collapsed="false">
      <c r="A11" s="6" t="s">
        <v>110</v>
      </c>
      <c r="B11" s="6" t="s">
        <v>111</v>
      </c>
      <c r="C11" s="6" t="s">
        <v>45</v>
      </c>
      <c r="D11" s="6" t="s">
        <v>46</v>
      </c>
      <c r="E11" s="6" t="s">
        <v>47</v>
      </c>
      <c r="F11" s="6" t="s">
        <v>48</v>
      </c>
      <c r="G11" s="6" t="s">
        <v>49</v>
      </c>
      <c r="H11" s="6" t="s">
        <v>50</v>
      </c>
      <c r="I11" s="6" t="s">
        <v>112</v>
      </c>
      <c r="J11" s="6" t="n">
        <v>4</v>
      </c>
      <c r="K11" s="6" t="s">
        <v>52</v>
      </c>
      <c r="L11" s="6" t="s">
        <v>50</v>
      </c>
      <c r="M11" s="6" t="n">
        <v>3</v>
      </c>
      <c r="N11" s="6" t="s">
        <v>43</v>
      </c>
      <c r="O11" s="6" t="s">
        <v>113</v>
      </c>
      <c r="P11" s="7" t="s">
        <v>55</v>
      </c>
      <c r="Q11" s="7"/>
      <c r="R11" s="7"/>
      <c r="S11" s="7"/>
      <c r="T11" s="7"/>
      <c r="U11" s="7"/>
      <c r="V11" s="7"/>
      <c r="W11" s="7"/>
    </row>
    <row r="12" customFormat="false" ht="15" hidden="false" customHeight="false" outlineLevel="0" collapsed="false">
      <c r="A12" s="6" t="s">
        <v>114</v>
      </c>
      <c r="B12" s="6" t="s">
        <v>115</v>
      </c>
      <c r="C12" s="6" t="s">
        <v>45</v>
      </c>
      <c r="D12" s="6" t="s">
        <v>46</v>
      </c>
      <c r="E12" s="6" t="s">
        <v>47</v>
      </c>
      <c r="F12" s="6" t="s">
        <v>48</v>
      </c>
      <c r="G12" s="6" t="s">
        <v>116</v>
      </c>
      <c r="H12" s="6" t="s">
        <v>117</v>
      </c>
      <c r="I12" s="6" t="s">
        <v>77</v>
      </c>
      <c r="J12" s="6" t="n">
        <v>3.95</v>
      </c>
      <c r="K12" s="6" t="s">
        <v>78</v>
      </c>
      <c r="L12" s="6" t="s">
        <v>79</v>
      </c>
      <c r="M12" s="6" t="n">
        <v>3</v>
      </c>
      <c r="N12" s="6" t="s">
        <v>73</v>
      </c>
      <c r="O12" s="6" t="s">
        <v>118</v>
      </c>
      <c r="P12" s="7" t="s">
        <v>55</v>
      </c>
      <c r="Q12" s="7"/>
      <c r="R12" s="7"/>
      <c r="S12" s="7"/>
      <c r="T12" s="7"/>
      <c r="U12" s="7"/>
      <c r="V12" s="7"/>
      <c r="W12" s="7"/>
    </row>
    <row r="13" customFormat="false" ht="15" hidden="false" customHeight="false" outlineLevel="0" collapsed="false">
      <c r="A13" s="6" t="s">
        <v>119</v>
      </c>
      <c r="B13" s="6" t="s">
        <v>120</v>
      </c>
      <c r="C13" s="6" t="s">
        <v>45</v>
      </c>
      <c r="D13" s="6" t="s">
        <v>46</v>
      </c>
      <c r="E13" s="6" t="s">
        <v>47</v>
      </c>
      <c r="F13" s="6" t="s">
        <v>48</v>
      </c>
      <c r="G13" s="6" t="s">
        <v>121</v>
      </c>
      <c r="H13" s="6" t="s">
        <v>50</v>
      </c>
      <c r="I13" s="6" t="s">
        <v>122</v>
      </c>
      <c r="J13" s="6"/>
      <c r="K13" s="6" t="s">
        <v>123</v>
      </c>
      <c r="L13" s="6" t="s">
        <v>50</v>
      </c>
      <c r="M13" s="6" t="n">
        <v>2</v>
      </c>
      <c r="N13" s="6" t="s">
        <v>43</v>
      </c>
      <c r="O13" s="6" t="s">
        <v>124</v>
      </c>
      <c r="P13" s="7" t="s">
        <v>55</v>
      </c>
      <c r="Q13" s="7"/>
      <c r="R13" s="7"/>
      <c r="S13" s="7"/>
      <c r="T13" s="7"/>
      <c r="U13" s="7"/>
      <c r="V13" s="7"/>
      <c r="W13" s="7"/>
    </row>
    <row r="14" customFormat="false" ht="15" hidden="false" customHeight="false" outlineLevel="0" collapsed="false">
      <c r="A14" s="6" t="s">
        <v>125</v>
      </c>
      <c r="B14" s="6" t="s">
        <v>126</v>
      </c>
      <c r="C14" s="6" t="s">
        <v>127</v>
      </c>
      <c r="D14" s="6" t="s">
        <v>128</v>
      </c>
      <c r="E14" s="6" t="s">
        <v>129</v>
      </c>
      <c r="F14" s="6" t="s">
        <v>130</v>
      </c>
      <c r="G14" s="6" t="s">
        <v>131</v>
      </c>
      <c r="H14" s="6" t="s">
        <v>132</v>
      </c>
      <c r="I14" s="6" t="s">
        <v>77</v>
      </c>
      <c r="J14" s="6" t="n">
        <v>4.45</v>
      </c>
      <c r="K14" s="6" t="s">
        <v>133</v>
      </c>
      <c r="L14" s="6" t="s">
        <v>79</v>
      </c>
      <c r="M14" s="6" t="n">
        <v>6</v>
      </c>
      <c r="N14" s="6" t="s">
        <v>43</v>
      </c>
      <c r="O14" s="6" t="s">
        <v>134</v>
      </c>
      <c r="P14" s="7" t="s">
        <v>55</v>
      </c>
      <c r="Q14" s="7"/>
      <c r="R14" s="7"/>
      <c r="S14" s="7"/>
      <c r="T14" s="7"/>
      <c r="U14" s="7"/>
      <c r="V14" s="7"/>
      <c r="W14" s="7"/>
    </row>
    <row r="15" customFormat="false" ht="15" hidden="false" customHeight="false" outlineLevel="0" collapsed="false">
      <c r="A15" s="6" t="s">
        <v>135</v>
      </c>
      <c r="B15" s="6" t="s">
        <v>136</v>
      </c>
      <c r="C15" s="6" t="s">
        <v>127</v>
      </c>
      <c r="D15" s="6" t="s">
        <v>128</v>
      </c>
      <c r="E15" s="6" t="s">
        <v>129</v>
      </c>
      <c r="F15" s="6" t="s">
        <v>130</v>
      </c>
      <c r="G15" s="6" t="s">
        <v>137</v>
      </c>
      <c r="H15" s="6" t="s">
        <v>132</v>
      </c>
      <c r="I15" s="6" t="s">
        <v>138</v>
      </c>
      <c r="J15" s="6" t="n">
        <v>4.45</v>
      </c>
      <c r="K15" s="6" t="s">
        <v>139</v>
      </c>
      <c r="L15" s="6" t="s">
        <v>79</v>
      </c>
      <c r="M15" s="6" t="n">
        <v>5</v>
      </c>
      <c r="N15" s="6" t="s">
        <v>125</v>
      </c>
      <c r="O15" s="6" t="s">
        <v>140</v>
      </c>
      <c r="P15" s="7" t="s">
        <v>55</v>
      </c>
      <c r="Q15" s="7"/>
      <c r="R15" s="7"/>
      <c r="S15" s="7"/>
      <c r="T15" s="7"/>
      <c r="U15" s="7"/>
      <c r="V15" s="7"/>
      <c r="W15" s="7"/>
    </row>
    <row r="16" customFormat="false" ht="15" hidden="false" customHeight="false" outlineLevel="0" collapsed="false">
      <c r="A16" s="6" t="s">
        <v>141</v>
      </c>
      <c r="B16" s="6" t="s">
        <v>142</v>
      </c>
      <c r="C16" s="6" t="s">
        <v>127</v>
      </c>
      <c r="D16" s="6" t="s">
        <v>128</v>
      </c>
      <c r="E16" s="6" t="s">
        <v>129</v>
      </c>
      <c r="F16" s="6" t="s">
        <v>130</v>
      </c>
      <c r="G16" s="6" t="s">
        <v>143</v>
      </c>
      <c r="H16" s="6" t="s">
        <v>144</v>
      </c>
      <c r="I16" s="6" t="s">
        <v>112</v>
      </c>
      <c r="J16" s="6" t="n">
        <v>4.45</v>
      </c>
      <c r="K16" s="6" t="s">
        <v>133</v>
      </c>
      <c r="L16" s="6" t="s">
        <v>79</v>
      </c>
      <c r="M16" s="6" t="n">
        <v>7</v>
      </c>
      <c r="N16" s="6" t="s">
        <v>135</v>
      </c>
      <c r="O16" s="6" t="s">
        <v>145</v>
      </c>
      <c r="P16" s="7" t="s">
        <v>55</v>
      </c>
      <c r="Q16" s="7"/>
      <c r="R16" s="7"/>
      <c r="S16" s="7"/>
      <c r="T16" s="7"/>
      <c r="U16" s="7"/>
      <c r="V16" s="7"/>
      <c r="W16" s="7"/>
    </row>
    <row r="17" customFormat="false" ht="15" hidden="false" customHeight="false" outlineLevel="0" collapsed="false">
      <c r="A17" s="6" t="s">
        <v>146</v>
      </c>
      <c r="B17" s="6" t="s">
        <v>147</v>
      </c>
      <c r="C17" s="6" t="s">
        <v>127</v>
      </c>
      <c r="D17" s="6" t="s">
        <v>128</v>
      </c>
      <c r="E17" s="6" t="s">
        <v>129</v>
      </c>
      <c r="F17" s="6" t="s">
        <v>130</v>
      </c>
      <c r="G17" s="6" t="s">
        <v>148</v>
      </c>
      <c r="H17" s="6" t="s">
        <v>144</v>
      </c>
      <c r="I17" s="6" t="s">
        <v>112</v>
      </c>
      <c r="J17" s="6" t="n">
        <v>4.45</v>
      </c>
      <c r="K17" s="6" t="s">
        <v>62</v>
      </c>
      <c r="L17" s="6" t="s">
        <v>79</v>
      </c>
      <c r="M17" s="6" t="n">
        <v>4</v>
      </c>
      <c r="N17" s="6" t="s">
        <v>141</v>
      </c>
      <c r="O17" s="6" t="s">
        <v>149</v>
      </c>
      <c r="P17" s="7" t="s">
        <v>55</v>
      </c>
      <c r="Q17" s="7"/>
      <c r="R17" s="7"/>
      <c r="S17" s="7"/>
      <c r="T17" s="7"/>
      <c r="U17" s="7"/>
      <c r="V17" s="7"/>
      <c r="W17" s="7"/>
    </row>
    <row r="18" customFormat="false" ht="15" hidden="false" customHeight="false" outlineLevel="0" collapsed="false">
      <c r="A18" s="6" t="s">
        <v>150</v>
      </c>
      <c r="B18" s="6" t="s">
        <v>151</v>
      </c>
      <c r="C18" s="6" t="s">
        <v>127</v>
      </c>
      <c r="D18" s="6" t="s">
        <v>128</v>
      </c>
      <c r="E18" s="6" t="s">
        <v>129</v>
      </c>
      <c r="F18" s="6" t="s">
        <v>130</v>
      </c>
      <c r="G18" s="6" t="s">
        <v>152</v>
      </c>
      <c r="H18" s="6" t="s">
        <v>153</v>
      </c>
      <c r="I18" s="6" t="s">
        <v>138</v>
      </c>
      <c r="J18" s="6" t="n">
        <v>4.45</v>
      </c>
      <c r="K18" s="6" t="s">
        <v>133</v>
      </c>
      <c r="L18" s="6" t="s">
        <v>79</v>
      </c>
      <c r="M18" s="6" t="n">
        <v>5</v>
      </c>
      <c r="N18" s="6" t="s">
        <v>135</v>
      </c>
      <c r="O18" s="6" t="s">
        <v>154</v>
      </c>
      <c r="P18" s="7" t="s">
        <v>55</v>
      </c>
      <c r="Q18" s="7"/>
      <c r="R18" s="7"/>
      <c r="S18" s="7"/>
      <c r="T18" s="7"/>
      <c r="U18" s="7"/>
      <c r="V18" s="7"/>
      <c r="W18" s="7"/>
    </row>
    <row r="19" customFormat="false" ht="23.85" hidden="false" customHeight="false" outlineLevel="0" collapsed="false">
      <c r="A19" s="6" t="s">
        <v>155</v>
      </c>
      <c r="B19" s="6" t="s">
        <v>156</v>
      </c>
      <c r="C19" s="6" t="s">
        <v>157</v>
      </c>
      <c r="D19" s="6" t="s">
        <v>128</v>
      </c>
      <c r="E19" s="6" t="s">
        <v>129</v>
      </c>
      <c r="F19" s="6" t="s">
        <v>130</v>
      </c>
      <c r="G19" s="6" t="s">
        <v>158</v>
      </c>
      <c r="H19" s="6" t="s">
        <v>159</v>
      </c>
      <c r="I19" s="6" t="s">
        <v>160</v>
      </c>
      <c r="J19" s="6" t="n">
        <v>4.4</v>
      </c>
      <c r="K19" s="6" t="s">
        <v>62</v>
      </c>
      <c r="L19" s="6" t="s">
        <v>50</v>
      </c>
      <c r="M19" s="6" t="n">
        <v>8</v>
      </c>
      <c r="N19" s="6" t="s">
        <v>43</v>
      </c>
      <c r="O19" s="6" t="s">
        <v>161</v>
      </c>
      <c r="P19" s="7" t="s">
        <v>55</v>
      </c>
      <c r="Q19" s="7"/>
      <c r="R19" s="7"/>
      <c r="S19" s="7"/>
      <c r="T19" s="7"/>
      <c r="U19" s="7"/>
      <c r="V19" s="7"/>
      <c r="W19" s="7"/>
    </row>
    <row r="20" customFormat="false" ht="23.85" hidden="false" customHeight="false" outlineLevel="0" collapsed="false">
      <c r="A20" s="6" t="s">
        <v>162</v>
      </c>
      <c r="B20" s="6" t="s">
        <v>163</v>
      </c>
      <c r="C20" s="6" t="s">
        <v>164</v>
      </c>
      <c r="D20" s="6" t="s">
        <v>128</v>
      </c>
      <c r="E20" s="6" t="s">
        <v>129</v>
      </c>
      <c r="F20" s="6" t="s">
        <v>130</v>
      </c>
      <c r="G20" s="6" t="s">
        <v>165</v>
      </c>
      <c r="H20" s="6" t="s">
        <v>166</v>
      </c>
      <c r="I20" s="6" t="s">
        <v>62</v>
      </c>
      <c r="J20" s="6" t="n">
        <v>4.35</v>
      </c>
      <c r="K20" s="6" t="s">
        <v>167</v>
      </c>
      <c r="L20" s="6" t="s">
        <v>79</v>
      </c>
      <c r="M20" s="6" t="n">
        <v>6</v>
      </c>
      <c r="N20" s="6" t="s">
        <v>155</v>
      </c>
      <c r="O20" s="6" t="s">
        <v>168</v>
      </c>
      <c r="P20" s="7" t="s">
        <v>55</v>
      </c>
      <c r="Q20" s="7"/>
      <c r="R20" s="7"/>
      <c r="S20" s="7"/>
      <c r="T20" s="7"/>
      <c r="U20" s="7"/>
      <c r="V20" s="7"/>
      <c r="W20" s="7"/>
    </row>
    <row r="21" customFormat="false" ht="15" hidden="false" customHeight="false" outlineLevel="0" collapsed="false">
      <c r="A21" s="6" t="s">
        <v>169</v>
      </c>
      <c r="B21" s="6" t="s">
        <v>170</v>
      </c>
      <c r="C21" s="6" t="s">
        <v>164</v>
      </c>
      <c r="D21" s="6" t="s">
        <v>128</v>
      </c>
      <c r="E21" s="6" t="s">
        <v>129</v>
      </c>
      <c r="F21" s="6" t="s">
        <v>130</v>
      </c>
      <c r="G21" s="6" t="s">
        <v>165</v>
      </c>
      <c r="H21" s="6" t="s">
        <v>166</v>
      </c>
      <c r="I21" s="6" t="s">
        <v>62</v>
      </c>
      <c r="J21" s="6" t="n">
        <v>4.25</v>
      </c>
      <c r="K21" s="6" t="s">
        <v>167</v>
      </c>
      <c r="L21" s="6" t="s">
        <v>79</v>
      </c>
      <c r="M21" s="6" t="n">
        <v>4</v>
      </c>
      <c r="N21" s="6" t="s">
        <v>155</v>
      </c>
      <c r="O21" s="6" t="s">
        <v>171</v>
      </c>
      <c r="P21" s="7" t="s">
        <v>55</v>
      </c>
      <c r="Q21" s="7"/>
      <c r="R21" s="7"/>
      <c r="S21" s="7"/>
      <c r="T21" s="7"/>
      <c r="U21" s="7"/>
      <c r="V21" s="7"/>
      <c r="W21" s="7"/>
    </row>
    <row r="22" customFormat="false" ht="15" hidden="false" customHeight="false" outlineLevel="0" collapsed="false">
      <c r="A22" s="6" t="s">
        <v>172</v>
      </c>
      <c r="B22" s="6" t="s">
        <v>173</v>
      </c>
      <c r="C22" s="6" t="s">
        <v>174</v>
      </c>
      <c r="D22" s="6" t="s">
        <v>128</v>
      </c>
      <c r="E22" s="6" t="s">
        <v>129</v>
      </c>
      <c r="F22" s="6" t="s">
        <v>130</v>
      </c>
      <c r="G22" s="6" t="s">
        <v>175</v>
      </c>
      <c r="H22" s="6" t="s">
        <v>176</v>
      </c>
      <c r="I22" s="6" t="s">
        <v>177</v>
      </c>
      <c r="J22" s="6" t="n">
        <v>4.2</v>
      </c>
      <c r="K22" s="6" t="s">
        <v>178</v>
      </c>
      <c r="L22" s="6" t="s">
        <v>79</v>
      </c>
      <c r="M22" s="6" t="n">
        <v>5</v>
      </c>
      <c r="N22" s="6" t="s">
        <v>179</v>
      </c>
      <c r="O22" s="6" t="s">
        <v>180</v>
      </c>
      <c r="P22" s="7" t="s">
        <v>55</v>
      </c>
      <c r="Q22" s="7"/>
      <c r="R22" s="7"/>
      <c r="S22" s="7"/>
      <c r="T22" s="7"/>
      <c r="U22" s="7"/>
      <c r="V22" s="7"/>
      <c r="W22" s="7"/>
    </row>
    <row r="23" customFormat="false" ht="15" hidden="false" customHeight="false" outlineLevel="0" collapsed="false">
      <c r="A23" s="6" t="s">
        <v>181</v>
      </c>
      <c r="B23" s="6" t="s">
        <v>182</v>
      </c>
      <c r="C23" s="6" t="s">
        <v>164</v>
      </c>
      <c r="D23" s="6" t="s">
        <v>128</v>
      </c>
      <c r="E23" s="6" t="s">
        <v>129</v>
      </c>
      <c r="F23" s="6" t="s">
        <v>130</v>
      </c>
      <c r="G23" s="6" t="s">
        <v>165</v>
      </c>
      <c r="H23" s="6" t="s">
        <v>166</v>
      </c>
      <c r="I23" s="6" t="s">
        <v>112</v>
      </c>
      <c r="J23" s="6" t="n">
        <v>4.05</v>
      </c>
      <c r="K23" s="6" t="s">
        <v>167</v>
      </c>
      <c r="L23" s="6" t="s">
        <v>79</v>
      </c>
      <c r="M23" s="6" t="n">
        <v>6</v>
      </c>
      <c r="N23" s="6" t="s">
        <v>155</v>
      </c>
      <c r="O23" s="6" t="s">
        <v>183</v>
      </c>
      <c r="P23" s="7" t="s">
        <v>55</v>
      </c>
      <c r="Q23" s="7"/>
      <c r="R23" s="7"/>
      <c r="S23" s="7"/>
      <c r="T23" s="7"/>
      <c r="U23" s="7"/>
      <c r="V23" s="7"/>
      <c r="W23" s="7"/>
    </row>
    <row r="24" customFormat="false" ht="15" hidden="false" customHeight="false" outlineLevel="0" collapsed="false">
      <c r="A24" s="6" t="s">
        <v>184</v>
      </c>
      <c r="B24" s="6" t="s">
        <v>185</v>
      </c>
      <c r="C24" s="6" t="s">
        <v>157</v>
      </c>
      <c r="D24" s="6" t="s">
        <v>128</v>
      </c>
      <c r="E24" s="6" t="s">
        <v>129</v>
      </c>
      <c r="F24" s="6" t="s">
        <v>130</v>
      </c>
      <c r="G24" s="6" t="s">
        <v>186</v>
      </c>
      <c r="H24" s="6" t="s">
        <v>187</v>
      </c>
      <c r="I24" s="6" t="s">
        <v>112</v>
      </c>
      <c r="J24" s="6" t="n">
        <v>4</v>
      </c>
      <c r="K24" s="6" t="s">
        <v>188</v>
      </c>
      <c r="L24" s="6" t="s">
        <v>79</v>
      </c>
      <c r="M24" s="6" t="n">
        <v>3</v>
      </c>
      <c r="N24" s="6" t="s">
        <v>155</v>
      </c>
      <c r="O24" s="6" t="s">
        <v>189</v>
      </c>
      <c r="P24" s="7" t="s">
        <v>55</v>
      </c>
      <c r="Q24" s="7"/>
      <c r="R24" s="7"/>
      <c r="S24" s="7"/>
      <c r="T24" s="7"/>
      <c r="U24" s="7"/>
      <c r="V24" s="7"/>
      <c r="W24" s="7"/>
    </row>
    <row r="25" customFormat="false" ht="15" hidden="false" customHeight="false" outlineLevel="0" collapsed="false">
      <c r="A25" s="6" t="s">
        <v>190</v>
      </c>
      <c r="B25" s="6" t="s">
        <v>191</v>
      </c>
      <c r="C25" s="6" t="s">
        <v>174</v>
      </c>
      <c r="D25" s="6" t="s">
        <v>128</v>
      </c>
      <c r="E25" s="6" t="s">
        <v>129</v>
      </c>
      <c r="F25" s="6" t="s">
        <v>130</v>
      </c>
      <c r="G25" s="6" t="s">
        <v>192</v>
      </c>
      <c r="H25" s="6" t="s">
        <v>193</v>
      </c>
      <c r="I25" s="6" t="s">
        <v>112</v>
      </c>
      <c r="J25" s="6" t="n">
        <v>3.95</v>
      </c>
      <c r="K25" s="6" t="s">
        <v>194</v>
      </c>
      <c r="L25" s="6" t="s">
        <v>195</v>
      </c>
      <c r="M25" s="6" t="n">
        <v>4</v>
      </c>
      <c r="N25" s="6" t="s">
        <v>150</v>
      </c>
      <c r="O25" s="6" t="s">
        <v>196</v>
      </c>
      <c r="P25" s="7" t="s">
        <v>55</v>
      </c>
      <c r="Q25" s="7"/>
      <c r="R25" s="7"/>
      <c r="S25" s="7"/>
      <c r="T25" s="7"/>
      <c r="U25" s="7"/>
      <c r="V25" s="7"/>
      <c r="W25" s="7"/>
    </row>
    <row r="26" customFormat="false" ht="15" hidden="false" customHeight="false" outlineLevel="0" collapsed="false">
      <c r="A26" s="6" t="s">
        <v>197</v>
      </c>
      <c r="B26" s="6" t="s">
        <v>198</v>
      </c>
      <c r="C26" s="6" t="s">
        <v>199</v>
      </c>
      <c r="D26" s="6" t="s">
        <v>128</v>
      </c>
      <c r="E26" s="6" t="s">
        <v>129</v>
      </c>
      <c r="F26" s="6" t="s">
        <v>130</v>
      </c>
      <c r="G26" s="6" t="s">
        <v>186</v>
      </c>
      <c r="H26" s="6" t="s">
        <v>187</v>
      </c>
      <c r="I26" s="6" t="s">
        <v>200</v>
      </c>
      <c r="J26" s="6" t="n">
        <v>3.9</v>
      </c>
      <c r="K26" s="6" t="s">
        <v>62</v>
      </c>
      <c r="L26" s="6" t="s">
        <v>79</v>
      </c>
      <c r="M26" s="6" t="n">
        <v>3</v>
      </c>
      <c r="N26" s="6" t="s">
        <v>201</v>
      </c>
      <c r="O26" s="6" t="s">
        <v>202</v>
      </c>
      <c r="P26" s="7" t="s">
        <v>55</v>
      </c>
      <c r="Q26" s="7"/>
      <c r="R26" s="7"/>
      <c r="S26" s="7"/>
      <c r="T26" s="7"/>
      <c r="U26" s="7"/>
      <c r="V26" s="7"/>
      <c r="W26" s="7"/>
    </row>
    <row r="27" customFormat="false" ht="15" hidden="false" customHeight="false" outlineLevel="0" collapsed="false">
      <c r="A27" s="6" t="s">
        <v>203</v>
      </c>
      <c r="B27" s="6" t="s">
        <v>204</v>
      </c>
      <c r="C27" s="6" t="s">
        <v>127</v>
      </c>
      <c r="D27" s="6" t="s">
        <v>128</v>
      </c>
      <c r="E27" s="6" t="s">
        <v>129</v>
      </c>
      <c r="F27" s="6" t="s">
        <v>130</v>
      </c>
      <c r="G27" s="6" t="s">
        <v>192</v>
      </c>
      <c r="H27" s="6" t="s">
        <v>193</v>
      </c>
      <c r="I27" s="6" t="s">
        <v>112</v>
      </c>
      <c r="J27" s="6" t="n">
        <v>3.75</v>
      </c>
      <c r="K27" s="6" t="s">
        <v>62</v>
      </c>
      <c r="L27" s="6" t="s">
        <v>79</v>
      </c>
      <c r="M27" s="6" t="n">
        <v>3</v>
      </c>
      <c r="N27" s="6" t="s">
        <v>125</v>
      </c>
      <c r="O27" s="6" t="s">
        <v>205</v>
      </c>
      <c r="P27" s="7" t="s">
        <v>55</v>
      </c>
      <c r="Q27" s="7"/>
      <c r="R27" s="7"/>
      <c r="S27" s="7"/>
      <c r="T27" s="7"/>
      <c r="U27" s="7"/>
      <c r="V27" s="7"/>
      <c r="W27" s="7"/>
    </row>
    <row r="28" customFormat="false" ht="15" hidden="false" customHeight="false" outlineLevel="0" collapsed="false">
      <c r="A28" s="6" t="s">
        <v>206</v>
      </c>
      <c r="B28" s="6" t="s">
        <v>207</v>
      </c>
      <c r="C28" s="6" t="s">
        <v>67</v>
      </c>
      <c r="D28" s="6" t="s">
        <v>128</v>
      </c>
      <c r="E28" s="6" t="s">
        <v>129</v>
      </c>
      <c r="F28" s="6" t="s">
        <v>130</v>
      </c>
      <c r="G28" s="6" t="s">
        <v>208</v>
      </c>
      <c r="H28" s="6" t="s">
        <v>209</v>
      </c>
      <c r="I28" s="6" t="s">
        <v>210</v>
      </c>
      <c r="J28" s="6" t="n">
        <v>3.75</v>
      </c>
      <c r="K28" s="6" t="s">
        <v>62</v>
      </c>
      <c r="L28" s="6" t="s">
        <v>63</v>
      </c>
      <c r="M28" s="6" t="n">
        <v>4</v>
      </c>
      <c r="N28" s="6" t="s">
        <v>43</v>
      </c>
      <c r="O28" s="6" t="s">
        <v>211</v>
      </c>
      <c r="P28" s="7" t="s">
        <v>55</v>
      </c>
      <c r="Q28" s="7"/>
      <c r="R28" s="7"/>
      <c r="S28" s="7"/>
      <c r="T28" s="7"/>
      <c r="U28" s="7"/>
      <c r="V28" s="7"/>
      <c r="W28" s="7"/>
    </row>
    <row r="29" customFormat="false" ht="15" hidden="false" customHeight="false" outlineLevel="0" collapsed="false">
      <c r="A29" s="6" t="s">
        <v>212</v>
      </c>
      <c r="B29" s="6" t="s">
        <v>213</v>
      </c>
      <c r="C29" s="6" t="s">
        <v>45</v>
      </c>
      <c r="D29" s="6" t="s">
        <v>128</v>
      </c>
      <c r="E29" s="6" t="s">
        <v>129</v>
      </c>
      <c r="F29" s="6" t="s">
        <v>130</v>
      </c>
      <c r="G29" s="6" t="s">
        <v>214</v>
      </c>
      <c r="H29" s="6" t="s">
        <v>215</v>
      </c>
      <c r="I29" s="6" t="s">
        <v>112</v>
      </c>
      <c r="J29" s="6" t="n">
        <v>3.7</v>
      </c>
      <c r="K29" s="6" t="s">
        <v>216</v>
      </c>
      <c r="L29" s="6" t="s">
        <v>50</v>
      </c>
      <c r="M29" s="6" t="n">
        <v>5</v>
      </c>
      <c r="N29" s="6" t="s">
        <v>155</v>
      </c>
      <c r="O29" s="6" t="s">
        <v>217</v>
      </c>
      <c r="P29" s="7" t="s">
        <v>55</v>
      </c>
      <c r="Q29" s="7"/>
      <c r="R29" s="7"/>
      <c r="S29" s="7"/>
      <c r="T29" s="7"/>
      <c r="U29" s="7"/>
      <c r="V29" s="7"/>
      <c r="W29" s="7"/>
    </row>
    <row r="30" customFormat="false" ht="15" hidden="false" customHeight="false" outlineLevel="0" collapsed="false">
      <c r="A30" s="6" t="s">
        <v>218</v>
      </c>
      <c r="B30" s="6" t="s">
        <v>219</v>
      </c>
      <c r="C30" s="6" t="s">
        <v>220</v>
      </c>
      <c r="D30" s="6" t="s">
        <v>128</v>
      </c>
      <c r="E30" s="6" t="s">
        <v>129</v>
      </c>
      <c r="F30" s="6" t="s">
        <v>130</v>
      </c>
      <c r="G30" s="6" t="s">
        <v>221</v>
      </c>
      <c r="H30" s="6" t="s">
        <v>222</v>
      </c>
      <c r="I30" s="6" t="s">
        <v>112</v>
      </c>
      <c r="J30" s="6" t="n">
        <v>3.7</v>
      </c>
      <c r="K30" s="6" t="s">
        <v>62</v>
      </c>
      <c r="L30" s="6" t="s">
        <v>50</v>
      </c>
      <c r="M30" s="6" t="n">
        <v>9</v>
      </c>
      <c r="N30" s="6" t="s">
        <v>223</v>
      </c>
      <c r="O30" s="6" t="s">
        <v>224</v>
      </c>
      <c r="P30" s="7" t="s">
        <v>55</v>
      </c>
      <c r="Q30" s="7"/>
      <c r="R30" s="7"/>
      <c r="S30" s="7"/>
      <c r="T30" s="7"/>
      <c r="U30" s="7"/>
      <c r="V30" s="7"/>
      <c r="W30" s="7"/>
    </row>
    <row r="31" customFormat="false" ht="15" hidden="false" customHeight="false" outlineLevel="0" collapsed="false">
      <c r="A31" s="6" t="s">
        <v>225</v>
      </c>
      <c r="B31" s="6" t="s">
        <v>226</v>
      </c>
      <c r="C31" s="6" t="s">
        <v>227</v>
      </c>
      <c r="D31" s="6" t="s">
        <v>228</v>
      </c>
      <c r="E31" s="6" t="s">
        <v>229</v>
      </c>
      <c r="F31" s="6" t="s">
        <v>230</v>
      </c>
      <c r="G31" s="6" t="s">
        <v>231</v>
      </c>
      <c r="H31" s="6" t="s">
        <v>232</v>
      </c>
      <c r="I31" s="6" t="s">
        <v>233</v>
      </c>
      <c r="J31" s="6" t="n">
        <v>4.2</v>
      </c>
      <c r="K31" s="6" t="s">
        <v>234</v>
      </c>
      <c r="L31" s="6" t="s">
        <v>79</v>
      </c>
      <c r="M31" s="6" t="n">
        <v>12</v>
      </c>
      <c r="N31" s="6" t="s">
        <v>235</v>
      </c>
      <c r="O31" s="6" t="s">
        <v>236</v>
      </c>
      <c r="P31" s="7" t="s">
        <v>55</v>
      </c>
      <c r="Q31" s="7"/>
      <c r="R31" s="7"/>
      <c r="S31" s="7"/>
      <c r="T31" s="7"/>
      <c r="U31" s="7"/>
      <c r="V31" s="7"/>
      <c r="W31" s="7"/>
    </row>
    <row r="32" customFormat="false" ht="15" hidden="false" customHeight="false" outlineLevel="0" collapsed="false">
      <c r="A32" s="6" t="s">
        <v>237</v>
      </c>
      <c r="B32" s="6" t="s">
        <v>238</v>
      </c>
      <c r="C32" s="6" t="s">
        <v>45</v>
      </c>
      <c r="D32" s="6" t="s">
        <v>228</v>
      </c>
      <c r="E32" s="6" t="s">
        <v>229</v>
      </c>
      <c r="F32" s="6" t="s">
        <v>230</v>
      </c>
      <c r="G32" s="6" t="s">
        <v>239</v>
      </c>
      <c r="H32" s="6" t="s">
        <v>240</v>
      </c>
      <c r="I32" s="6" t="s">
        <v>70</v>
      </c>
      <c r="J32" s="6" t="n">
        <v>4.15</v>
      </c>
      <c r="K32" s="6" t="s">
        <v>78</v>
      </c>
      <c r="L32" s="6" t="s">
        <v>195</v>
      </c>
      <c r="M32" s="6" t="n">
        <v>6</v>
      </c>
      <c r="N32" s="6" t="s">
        <v>73</v>
      </c>
      <c r="O32" s="6" t="s">
        <v>241</v>
      </c>
      <c r="P32" s="7" t="s">
        <v>55</v>
      </c>
      <c r="Q32" s="7"/>
      <c r="R32" s="7"/>
      <c r="S32" s="7"/>
      <c r="T32" s="7"/>
      <c r="U32" s="7"/>
      <c r="V32" s="7"/>
      <c r="W32" s="7"/>
    </row>
    <row r="33" customFormat="false" ht="15" hidden="false" customHeight="false" outlineLevel="0" collapsed="false">
      <c r="A33" s="6" t="s">
        <v>242</v>
      </c>
      <c r="B33" s="6" t="s">
        <v>243</v>
      </c>
      <c r="C33" s="6" t="s">
        <v>164</v>
      </c>
      <c r="D33" s="6" t="s">
        <v>228</v>
      </c>
      <c r="E33" s="6" t="s">
        <v>229</v>
      </c>
      <c r="F33" s="6" t="s">
        <v>230</v>
      </c>
      <c r="G33" s="6" t="s">
        <v>244</v>
      </c>
      <c r="H33" s="6" t="s">
        <v>245</v>
      </c>
      <c r="I33" s="6" t="s">
        <v>112</v>
      </c>
      <c r="J33" s="6" t="n">
        <v>4.1</v>
      </c>
      <c r="K33" s="6" t="s">
        <v>167</v>
      </c>
      <c r="L33" s="6" t="s">
        <v>195</v>
      </c>
      <c r="M33" s="6" t="n">
        <v>6</v>
      </c>
      <c r="N33" s="6" t="s">
        <v>246</v>
      </c>
      <c r="O33" s="6" t="s">
        <v>247</v>
      </c>
      <c r="P33" s="7" t="s">
        <v>55</v>
      </c>
      <c r="Q33" s="7"/>
      <c r="R33" s="7"/>
      <c r="S33" s="7"/>
      <c r="T33" s="7"/>
      <c r="U33" s="7"/>
      <c r="V33" s="7"/>
      <c r="W33" s="7"/>
    </row>
    <row r="34" customFormat="false" ht="15" hidden="false" customHeight="false" outlineLevel="0" collapsed="false">
      <c r="A34" s="6" t="s">
        <v>248</v>
      </c>
      <c r="B34" s="6" t="s">
        <v>249</v>
      </c>
      <c r="C34" s="6" t="s">
        <v>174</v>
      </c>
      <c r="D34" s="6" t="s">
        <v>228</v>
      </c>
      <c r="E34" s="6" t="s">
        <v>229</v>
      </c>
      <c r="F34" s="6" t="s">
        <v>230</v>
      </c>
      <c r="G34" s="6" t="s">
        <v>250</v>
      </c>
      <c r="H34" s="6" t="s">
        <v>251</v>
      </c>
      <c r="I34" s="6" t="s">
        <v>252</v>
      </c>
      <c r="J34" s="6" t="n">
        <v>4.05</v>
      </c>
      <c r="K34" s="6" t="s">
        <v>253</v>
      </c>
      <c r="L34" s="6" t="s">
        <v>195</v>
      </c>
      <c r="M34" s="6" t="n">
        <v>10</v>
      </c>
      <c r="N34" s="6" t="s">
        <v>254</v>
      </c>
      <c r="O34" s="6" t="s">
        <v>255</v>
      </c>
      <c r="P34" s="7" t="s">
        <v>55</v>
      </c>
      <c r="Q34" s="7"/>
      <c r="R34" s="7"/>
      <c r="S34" s="7"/>
      <c r="T34" s="7"/>
      <c r="U34" s="7"/>
      <c r="V34" s="7"/>
      <c r="W34" s="7"/>
    </row>
    <row r="35" customFormat="false" ht="23.85" hidden="false" customHeight="false" outlineLevel="0" collapsed="false">
      <c r="A35" s="6" t="s">
        <v>256</v>
      </c>
      <c r="B35" s="6" t="s">
        <v>257</v>
      </c>
      <c r="C35" s="6" t="s">
        <v>67</v>
      </c>
      <c r="D35" s="6" t="s">
        <v>228</v>
      </c>
      <c r="E35" s="6" t="s">
        <v>229</v>
      </c>
      <c r="F35" s="6" t="s">
        <v>230</v>
      </c>
      <c r="G35" s="6" t="s">
        <v>258</v>
      </c>
      <c r="H35" s="6" t="s">
        <v>259</v>
      </c>
      <c r="I35" s="6" t="s">
        <v>61</v>
      </c>
      <c r="J35" s="6" t="n">
        <v>3.85</v>
      </c>
      <c r="K35" s="6" t="s">
        <v>62</v>
      </c>
      <c r="L35" s="6" t="s">
        <v>63</v>
      </c>
      <c r="M35" s="6" t="n">
        <v>5</v>
      </c>
      <c r="N35" s="6" t="s">
        <v>235</v>
      </c>
      <c r="O35" s="6" t="s">
        <v>260</v>
      </c>
      <c r="P35" s="7" t="s">
        <v>55</v>
      </c>
      <c r="Q35" s="7"/>
      <c r="R35" s="7"/>
      <c r="S35" s="7"/>
      <c r="T35" s="7"/>
      <c r="U35" s="7"/>
      <c r="V35" s="7"/>
      <c r="W35" s="7"/>
    </row>
    <row r="36" customFormat="false" ht="23.85" hidden="false" customHeight="false" outlineLevel="0" collapsed="false">
      <c r="A36" s="6" t="s">
        <v>261</v>
      </c>
      <c r="B36" s="6" t="s">
        <v>262</v>
      </c>
      <c r="C36" s="6" t="s">
        <v>164</v>
      </c>
      <c r="D36" s="6" t="s">
        <v>228</v>
      </c>
      <c r="E36" s="6" t="s">
        <v>229</v>
      </c>
      <c r="F36" s="6" t="s">
        <v>230</v>
      </c>
      <c r="G36" s="6" t="s">
        <v>263</v>
      </c>
      <c r="H36" s="6" t="s">
        <v>264</v>
      </c>
      <c r="I36" s="6" t="s">
        <v>61</v>
      </c>
      <c r="J36" s="6" t="n">
        <v>3.85</v>
      </c>
      <c r="K36" s="6" t="s">
        <v>62</v>
      </c>
      <c r="L36" s="6" t="s">
        <v>79</v>
      </c>
      <c r="M36" s="6" t="n">
        <v>7</v>
      </c>
      <c r="N36" s="6" t="s">
        <v>265</v>
      </c>
      <c r="O36" s="6" t="s">
        <v>266</v>
      </c>
      <c r="P36" s="7" t="s">
        <v>55</v>
      </c>
      <c r="Q36" s="7"/>
      <c r="R36" s="7"/>
      <c r="S36" s="7"/>
      <c r="T36" s="7"/>
      <c r="U36" s="7"/>
      <c r="V36" s="7"/>
      <c r="W36" s="7"/>
    </row>
    <row r="37" customFormat="false" ht="15" hidden="false" customHeight="false" outlineLevel="0" collapsed="false">
      <c r="A37" s="6" t="s">
        <v>267</v>
      </c>
      <c r="B37" s="6" t="s">
        <v>268</v>
      </c>
      <c r="C37" s="6" t="s">
        <v>199</v>
      </c>
      <c r="D37" s="6" t="s">
        <v>228</v>
      </c>
      <c r="E37" s="6" t="s">
        <v>229</v>
      </c>
      <c r="F37" s="6" t="s">
        <v>230</v>
      </c>
      <c r="G37" s="6" t="s">
        <v>269</v>
      </c>
      <c r="H37" s="6" t="s">
        <v>270</v>
      </c>
      <c r="I37" s="6" t="s">
        <v>271</v>
      </c>
      <c r="J37" s="6" t="n">
        <v>3.8</v>
      </c>
      <c r="K37" s="6" t="s">
        <v>272</v>
      </c>
      <c r="L37" s="6" t="s">
        <v>79</v>
      </c>
      <c r="M37" s="6" t="n">
        <v>4</v>
      </c>
      <c r="N37" s="6" t="s">
        <v>150</v>
      </c>
      <c r="O37" s="6" t="s">
        <v>273</v>
      </c>
      <c r="P37" s="7" t="s">
        <v>55</v>
      </c>
      <c r="Q37" s="7"/>
      <c r="R37" s="7"/>
      <c r="S37" s="7"/>
      <c r="T37" s="7"/>
      <c r="U37" s="7"/>
      <c r="V37" s="7"/>
      <c r="W37" s="7"/>
    </row>
    <row r="38" customFormat="false" ht="15" hidden="false" customHeight="false" outlineLevel="0" collapsed="false">
      <c r="A38" s="6" t="s">
        <v>274</v>
      </c>
      <c r="B38" s="6" t="s">
        <v>275</v>
      </c>
      <c r="C38" s="6" t="s">
        <v>95</v>
      </c>
      <c r="D38" s="6" t="s">
        <v>228</v>
      </c>
      <c r="E38" s="6" t="s">
        <v>229</v>
      </c>
      <c r="F38" s="6" t="s">
        <v>230</v>
      </c>
      <c r="G38" s="6" t="s">
        <v>269</v>
      </c>
      <c r="H38" s="6" t="s">
        <v>270</v>
      </c>
      <c r="I38" s="6" t="s">
        <v>233</v>
      </c>
      <c r="J38" s="6" t="n">
        <v>3.75</v>
      </c>
      <c r="K38" s="6" t="s">
        <v>276</v>
      </c>
      <c r="L38" s="6" t="s">
        <v>79</v>
      </c>
      <c r="M38" s="6" t="n">
        <v>5</v>
      </c>
      <c r="N38" s="6" t="s">
        <v>93</v>
      </c>
      <c r="O38" s="6" t="s">
        <v>277</v>
      </c>
      <c r="P38" s="7" t="s">
        <v>55</v>
      </c>
      <c r="Q38" s="7"/>
      <c r="R38" s="7"/>
      <c r="S38" s="7"/>
      <c r="T38" s="7"/>
      <c r="U38" s="7"/>
      <c r="V38" s="7"/>
      <c r="W38" s="7"/>
    </row>
    <row r="39" customFormat="false" ht="15" hidden="false" customHeight="false" outlineLevel="0" collapsed="false">
      <c r="A39" s="6" t="s">
        <v>278</v>
      </c>
      <c r="B39" s="6" t="s">
        <v>279</v>
      </c>
      <c r="C39" s="6" t="s">
        <v>127</v>
      </c>
      <c r="D39" s="6" t="s">
        <v>228</v>
      </c>
      <c r="E39" s="6" t="s">
        <v>229</v>
      </c>
      <c r="F39" s="6" t="s">
        <v>230</v>
      </c>
      <c r="G39" s="6" t="s">
        <v>280</v>
      </c>
      <c r="H39" s="6" t="s">
        <v>281</v>
      </c>
      <c r="I39" s="6" t="s">
        <v>282</v>
      </c>
      <c r="J39" s="6" t="n">
        <v>3.7</v>
      </c>
      <c r="K39" s="6" t="s">
        <v>283</v>
      </c>
      <c r="L39" s="6" t="s">
        <v>195</v>
      </c>
      <c r="M39" s="6" t="n">
        <v>4</v>
      </c>
      <c r="N39" s="6" t="s">
        <v>125</v>
      </c>
      <c r="O39" s="6" t="s">
        <v>284</v>
      </c>
      <c r="P39" s="7" t="s">
        <v>55</v>
      </c>
      <c r="Q39" s="7"/>
      <c r="R39" s="7"/>
      <c r="S39" s="7"/>
      <c r="T39" s="7"/>
      <c r="U39" s="7"/>
      <c r="V39" s="7"/>
      <c r="W39" s="7"/>
    </row>
    <row r="40" customFormat="false" ht="15" hidden="false" customHeight="false" outlineLevel="0" collapsed="false">
      <c r="A40" s="6" t="s">
        <v>285</v>
      </c>
      <c r="B40" s="6" t="s">
        <v>286</v>
      </c>
      <c r="C40" s="6" t="s">
        <v>287</v>
      </c>
      <c r="D40" s="6" t="s">
        <v>228</v>
      </c>
      <c r="E40" s="6" t="s">
        <v>229</v>
      </c>
      <c r="F40" s="6" t="s">
        <v>230</v>
      </c>
      <c r="G40" s="6" t="s">
        <v>280</v>
      </c>
      <c r="H40" s="6" t="s">
        <v>50</v>
      </c>
      <c r="I40" s="6" t="s">
        <v>51</v>
      </c>
      <c r="J40" s="6" t="n">
        <v>3.6</v>
      </c>
      <c r="K40" s="6" t="s">
        <v>288</v>
      </c>
      <c r="L40" s="6" t="s">
        <v>50</v>
      </c>
      <c r="M40" s="6" t="n">
        <v>3</v>
      </c>
      <c r="N40" s="6" t="s">
        <v>53</v>
      </c>
      <c r="O40" s="6" t="s">
        <v>289</v>
      </c>
      <c r="P40" s="7" t="s">
        <v>55</v>
      </c>
      <c r="Q40" s="7"/>
      <c r="R40" s="7"/>
      <c r="S40" s="7"/>
      <c r="T40" s="7"/>
      <c r="U40" s="7"/>
      <c r="V40" s="7"/>
      <c r="W40" s="7"/>
    </row>
    <row r="41" customFormat="false" ht="15" hidden="false" customHeight="false" outlineLevel="0" collapsed="false">
      <c r="A41" s="6" t="s">
        <v>290</v>
      </c>
      <c r="B41" s="6" t="s">
        <v>291</v>
      </c>
      <c r="C41" s="6" t="s">
        <v>220</v>
      </c>
      <c r="D41" s="6" t="s">
        <v>228</v>
      </c>
      <c r="E41" s="6" t="s">
        <v>229</v>
      </c>
      <c r="F41" s="6" t="s">
        <v>230</v>
      </c>
      <c r="G41" s="6" t="s">
        <v>280</v>
      </c>
      <c r="H41" s="6" t="s">
        <v>50</v>
      </c>
      <c r="I41" s="6" t="s">
        <v>112</v>
      </c>
      <c r="J41" s="6" t="n">
        <v>3.55</v>
      </c>
      <c r="K41" s="6" t="s">
        <v>62</v>
      </c>
      <c r="L41" s="6" t="s">
        <v>50</v>
      </c>
      <c r="M41" s="6" t="n">
        <v>4</v>
      </c>
      <c r="N41" s="6" t="s">
        <v>292</v>
      </c>
      <c r="O41" s="6" t="s">
        <v>293</v>
      </c>
      <c r="P41" s="7" t="s">
        <v>55</v>
      </c>
      <c r="Q41" s="7"/>
      <c r="R41" s="7"/>
      <c r="S41" s="7"/>
      <c r="T41" s="7"/>
      <c r="U41" s="7"/>
      <c r="V41" s="7"/>
      <c r="W41" s="7"/>
    </row>
    <row r="42" customFormat="false" ht="15" hidden="false" customHeight="false" outlineLevel="0" collapsed="false">
      <c r="A42" s="6" t="s">
        <v>294</v>
      </c>
      <c r="B42" s="6" t="s">
        <v>295</v>
      </c>
      <c r="C42" s="6" t="s">
        <v>296</v>
      </c>
      <c r="D42" s="6" t="s">
        <v>297</v>
      </c>
      <c r="E42" s="6" t="s">
        <v>298</v>
      </c>
      <c r="F42" s="6" t="s">
        <v>299</v>
      </c>
      <c r="G42" s="6" t="s">
        <v>300</v>
      </c>
      <c r="H42" s="6" t="s">
        <v>301</v>
      </c>
      <c r="I42" s="6" t="s">
        <v>282</v>
      </c>
      <c r="J42" s="6" t="n">
        <v>4.3</v>
      </c>
      <c r="K42" s="6" t="s">
        <v>283</v>
      </c>
      <c r="L42" s="6" t="s">
        <v>302</v>
      </c>
      <c r="M42" s="6" t="n">
        <v>14</v>
      </c>
      <c r="N42" s="6" t="s">
        <v>303</v>
      </c>
      <c r="O42" s="6" t="s">
        <v>304</v>
      </c>
      <c r="P42" s="7" t="s">
        <v>55</v>
      </c>
      <c r="Q42" s="7"/>
      <c r="R42" s="7"/>
      <c r="S42" s="7"/>
      <c r="T42" s="7"/>
      <c r="U42" s="7"/>
      <c r="V42" s="7"/>
      <c r="W42" s="7"/>
    </row>
    <row r="43" customFormat="false" ht="15" hidden="false" customHeight="false" outlineLevel="0" collapsed="false">
      <c r="A43" s="6" t="s">
        <v>305</v>
      </c>
      <c r="B43" s="6" t="s">
        <v>306</v>
      </c>
      <c r="C43" s="6" t="s">
        <v>106</v>
      </c>
      <c r="D43" s="6" t="s">
        <v>297</v>
      </c>
      <c r="E43" s="6" t="s">
        <v>298</v>
      </c>
      <c r="F43" s="6" t="s">
        <v>299</v>
      </c>
      <c r="G43" s="6" t="s">
        <v>307</v>
      </c>
      <c r="H43" s="6" t="s">
        <v>308</v>
      </c>
      <c r="I43" s="6" t="s">
        <v>271</v>
      </c>
      <c r="J43" s="6" t="n">
        <v>4.05</v>
      </c>
      <c r="K43" s="6" t="s">
        <v>283</v>
      </c>
      <c r="L43" s="6" t="s">
        <v>309</v>
      </c>
      <c r="M43" s="6" t="n">
        <v>10</v>
      </c>
      <c r="N43" s="6" t="s">
        <v>190</v>
      </c>
      <c r="O43" s="6" t="s">
        <v>310</v>
      </c>
      <c r="P43" s="7" t="s">
        <v>55</v>
      </c>
      <c r="Q43" s="7"/>
      <c r="R43" s="7"/>
      <c r="S43" s="7"/>
      <c r="T43" s="7"/>
      <c r="U43" s="7"/>
      <c r="V43" s="7"/>
      <c r="W43" s="7"/>
    </row>
    <row r="44" customFormat="false" ht="15" hidden="false" customHeight="false" outlineLevel="0" collapsed="false">
      <c r="A44" s="6" t="s">
        <v>311</v>
      </c>
      <c r="B44" s="6" t="s">
        <v>312</v>
      </c>
      <c r="C44" s="6" t="s">
        <v>67</v>
      </c>
      <c r="D44" s="6" t="s">
        <v>297</v>
      </c>
      <c r="E44" s="6" t="s">
        <v>298</v>
      </c>
      <c r="F44" s="6" t="s">
        <v>299</v>
      </c>
      <c r="G44" s="6" t="s">
        <v>313</v>
      </c>
      <c r="H44" s="6" t="s">
        <v>314</v>
      </c>
      <c r="I44" s="6" t="s">
        <v>61</v>
      </c>
      <c r="J44" s="6" t="n">
        <v>3.9</v>
      </c>
      <c r="K44" s="6" t="s">
        <v>167</v>
      </c>
      <c r="L44" s="6" t="s">
        <v>195</v>
      </c>
      <c r="M44" s="6" t="n">
        <v>6</v>
      </c>
      <c r="N44" s="6" t="s">
        <v>315</v>
      </c>
      <c r="O44" s="6" t="s">
        <v>316</v>
      </c>
      <c r="P44" s="7" t="s">
        <v>55</v>
      </c>
      <c r="Q44" s="7"/>
      <c r="R44" s="7"/>
      <c r="S44" s="7"/>
      <c r="T44" s="7"/>
      <c r="U44" s="7"/>
      <c r="V44" s="7"/>
      <c r="W44" s="7"/>
    </row>
    <row r="45" customFormat="false" ht="15" hidden="false" customHeight="false" outlineLevel="0" collapsed="false">
      <c r="A45" s="6" t="s">
        <v>317</v>
      </c>
      <c r="B45" s="6" t="s">
        <v>318</v>
      </c>
      <c r="C45" s="6" t="s">
        <v>319</v>
      </c>
      <c r="D45" s="6" t="s">
        <v>297</v>
      </c>
      <c r="E45" s="6" t="s">
        <v>298</v>
      </c>
      <c r="F45" s="6" t="s">
        <v>299</v>
      </c>
      <c r="G45" s="6" t="s">
        <v>320</v>
      </c>
      <c r="H45" s="6" t="s">
        <v>321</v>
      </c>
      <c r="I45" s="6" t="s">
        <v>210</v>
      </c>
      <c r="J45" s="6" t="n">
        <v>3.8</v>
      </c>
      <c r="K45" s="6" t="s">
        <v>133</v>
      </c>
      <c r="L45" s="6" t="s">
        <v>195</v>
      </c>
      <c r="M45" s="6" t="n">
        <v>7</v>
      </c>
      <c r="N45" s="6" t="s">
        <v>303</v>
      </c>
      <c r="O45" s="6" t="s">
        <v>322</v>
      </c>
      <c r="P45" s="7" t="s">
        <v>55</v>
      </c>
      <c r="Q45" s="7"/>
      <c r="R45" s="7"/>
      <c r="S45" s="7"/>
      <c r="T45" s="7"/>
      <c r="U45" s="7"/>
      <c r="V45" s="7"/>
      <c r="W45" s="7"/>
    </row>
    <row r="46" customFormat="false" ht="15" hidden="false" customHeight="false" outlineLevel="0" collapsed="false">
      <c r="A46" s="6" t="s">
        <v>323</v>
      </c>
      <c r="B46" s="6" t="s">
        <v>324</v>
      </c>
      <c r="C46" s="6" t="s">
        <v>319</v>
      </c>
      <c r="D46" s="6" t="s">
        <v>297</v>
      </c>
      <c r="E46" s="6" t="s">
        <v>298</v>
      </c>
      <c r="F46" s="6" t="s">
        <v>299</v>
      </c>
      <c r="G46" s="6" t="s">
        <v>325</v>
      </c>
      <c r="H46" s="6" t="s">
        <v>326</v>
      </c>
      <c r="I46" s="6" t="s">
        <v>210</v>
      </c>
      <c r="J46" s="6" t="n">
        <v>3.65</v>
      </c>
      <c r="K46" s="6" t="s">
        <v>327</v>
      </c>
      <c r="L46" s="6" t="s">
        <v>302</v>
      </c>
      <c r="M46" s="6" t="n">
        <v>6</v>
      </c>
      <c r="N46" s="6" t="s">
        <v>317</v>
      </c>
      <c r="O46" s="6" t="s">
        <v>328</v>
      </c>
      <c r="P46" s="7" t="s">
        <v>55</v>
      </c>
      <c r="Q46" s="7"/>
      <c r="R46" s="7"/>
      <c r="S46" s="7"/>
      <c r="T46" s="7"/>
      <c r="U46" s="7"/>
      <c r="V46" s="7"/>
      <c r="W46" s="7"/>
    </row>
    <row r="47" customFormat="false" ht="15" hidden="false" customHeight="false" outlineLevel="0" collapsed="false">
      <c r="A47" s="6" t="s">
        <v>329</v>
      </c>
      <c r="B47" s="6" t="s">
        <v>330</v>
      </c>
      <c r="C47" s="6" t="s">
        <v>127</v>
      </c>
      <c r="D47" s="6" t="s">
        <v>297</v>
      </c>
      <c r="E47" s="6" t="s">
        <v>298</v>
      </c>
      <c r="F47" s="6" t="s">
        <v>299</v>
      </c>
      <c r="G47" s="6" t="s">
        <v>331</v>
      </c>
      <c r="H47" s="6" t="s">
        <v>332</v>
      </c>
      <c r="I47" s="6" t="s">
        <v>282</v>
      </c>
      <c r="J47" s="6" t="n">
        <v>3.6</v>
      </c>
      <c r="K47" s="6" t="s">
        <v>283</v>
      </c>
      <c r="L47" s="6" t="s">
        <v>195</v>
      </c>
      <c r="M47" s="6" t="n">
        <v>8</v>
      </c>
      <c r="N47" s="6" t="s">
        <v>333</v>
      </c>
      <c r="O47" s="6" t="s">
        <v>334</v>
      </c>
      <c r="P47" s="7" t="s">
        <v>55</v>
      </c>
      <c r="Q47" s="7"/>
      <c r="R47" s="7"/>
      <c r="S47" s="7"/>
      <c r="T47" s="7"/>
      <c r="U47" s="7"/>
      <c r="V47" s="7"/>
      <c r="W47" s="7"/>
    </row>
    <row r="48" customFormat="false" ht="15" hidden="false" customHeight="false" outlineLevel="0" collapsed="false">
      <c r="A48" s="6" t="s">
        <v>335</v>
      </c>
      <c r="B48" s="6" t="s">
        <v>336</v>
      </c>
      <c r="C48" s="6" t="s">
        <v>127</v>
      </c>
      <c r="D48" s="6" t="s">
        <v>297</v>
      </c>
      <c r="E48" s="6" t="s">
        <v>298</v>
      </c>
      <c r="F48" s="6" t="s">
        <v>299</v>
      </c>
      <c r="G48" s="6" t="s">
        <v>331</v>
      </c>
      <c r="H48" s="6" t="s">
        <v>332</v>
      </c>
      <c r="I48" s="6" t="s">
        <v>282</v>
      </c>
      <c r="J48" s="6" t="n">
        <v>3.55</v>
      </c>
      <c r="K48" s="6" t="s">
        <v>283</v>
      </c>
      <c r="L48" s="6" t="s">
        <v>309</v>
      </c>
      <c r="M48" s="6" t="n">
        <v>3</v>
      </c>
      <c r="N48" s="6" t="s">
        <v>329</v>
      </c>
      <c r="O48" s="6" t="s">
        <v>337</v>
      </c>
      <c r="P48" s="7" t="s">
        <v>55</v>
      </c>
      <c r="Q48" s="7"/>
      <c r="R48" s="7"/>
      <c r="S48" s="7"/>
      <c r="T48" s="7"/>
      <c r="U48" s="7"/>
      <c r="V48" s="7"/>
      <c r="W48" s="7"/>
    </row>
    <row r="49" customFormat="false" ht="15" hidden="false" customHeight="false" outlineLevel="0" collapsed="false">
      <c r="A49" s="6" t="s">
        <v>338</v>
      </c>
      <c r="B49" s="6" t="s">
        <v>339</v>
      </c>
      <c r="C49" s="6" t="s">
        <v>106</v>
      </c>
      <c r="D49" s="6" t="s">
        <v>297</v>
      </c>
      <c r="E49" s="6" t="s">
        <v>298</v>
      </c>
      <c r="F49" s="6" t="s">
        <v>299</v>
      </c>
      <c r="G49" s="6" t="s">
        <v>340</v>
      </c>
      <c r="H49" s="6" t="s">
        <v>341</v>
      </c>
      <c r="I49" s="6" t="s">
        <v>233</v>
      </c>
      <c r="J49" s="6" t="n">
        <v>3.5</v>
      </c>
      <c r="K49" s="6" t="s">
        <v>283</v>
      </c>
      <c r="L49" s="6" t="s">
        <v>195</v>
      </c>
      <c r="M49" s="6" t="n">
        <v>4</v>
      </c>
      <c r="N49" s="6" t="s">
        <v>305</v>
      </c>
      <c r="O49" s="6" t="s">
        <v>342</v>
      </c>
      <c r="P49" s="7" t="s">
        <v>55</v>
      </c>
      <c r="Q49" s="7"/>
      <c r="R49" s="7"/>
      <c r="S49" s="7"/>
      <c r="T49" s="7"/>
      <c r="U49" s="7"/>
      <c r="V49" s="7"/>
      <c r="W49" s="7"/>
    </row>
    <row r="50" customFormat="false" ht="15" hidden="false" customHeight="false" outlineLevel="0" collapsed="false">
      <c r="A50" s="6" t="s">
        <v>343</v>
      </c>
      <c r="B50" s="6" t="s">
        <v>344</v>
      </c>
      <c r="C50" s="6" t="s">
        <v>58</v>
      </c>
      <c r="D50" s="6" t="s">
        <v>297</v>
      </c>
      <c r="E50" s="6" t="s">
        <v>298</v>
      </c>
      <c r="F50" s="6" t="s">
        <v>299</v>
      </c>
      <c r="G50" s="6" t="s">
        <v>340</v>
      </c>
      <c r="H50" s="6" t="s">
        <v>341</v>
      </c>
      <c r="I50" s="6" t="s">
        <v>51</v>
      </c>
      <c r="J50" s="6" t="n">
        <v>3.45</v>
      </c>
      <c r="K50" s="6" t="s">
        <v>62</v>
      </c>
      <c r="L50" s="6" t="s">
        <v>63</v>
      </c>
      <c r="M50" s="6" t="n">
        <v>4</v>
      </c>
      <c r="N50" s="6" t="s">
        <v>256</v>
      </c>
      <c r="O50" s="6" t="s">
        <v>345</v>
      </c>
      <c r="P50" s="7" t="s">
        <v>55</v>
      </c>
      <c r="Q50" s="7"/>
      <c r="R50" s="7"/>
      <c r="S50" s="7"/>
      <c r="T50" s="7"/>
      <c r="U50" s="7"/>
      <c r="V50" s="7"/>
      <c r="W50" s="7"/>
    </row>
    <row r="51" customFormat="false" ht="23.85" hidden="false" customHeight="false" outlineLevel="0" collapsed="false">
      <c r="A51" s="6" t="s">
        <v>346</v>
      </c>
      <c r="B51" s="6" t="s">
        <v>347</v>
      </c>
      <c r="C51" s="6" t="s">
        <v>287</v>
      </c>
      <c r="D51" s="6" t="s">
        <v>348</v>
      </c>
      <c r="E51" s="6" t="s">
        <v>349</v>
      </c>
      <c r="F51" s="6" t="s">
        <v>350</v>
      </c>
      <c r="G51" s="6" t="s">
        <v>351</v>
      </c>
      <c r="H51" s="6" t="s">
        <v>352</v>
      </c>
      <c r="I51" s="6" t="s">
        <v>77</v>
      </c>
      <c r="J51" s="6" t="n">
        <v>4</v>
      </c>
      <c r="K51" s="6" t="s">
        <v>353</v>
      </c>
      <c r="L51" s="6" t="s">
        <v>309</v>
      </c>
      <c r="M51" s="6" t="n">
        <v>10</v>
      </c>
      <c r="N51" s="6" t="s">
        <v>354</v>
      </c>
      <c r="O51" s="6" t="s">
        <v>355</v>
      </c>
      <c r="P51" s="7" t="s">
        <v>55</v>
      </c>
      <c r="Q51" s="7"/>
      <c r="R51" s="7"/>
      <c r="S51" s="7"/>
      <c r="T51" s="7"/>
      <c r="U51" s="7"/>
      <c r="V51" s="7"/>
      <c r="W51" s="7"/>
    </row>
    <row r="52" customFormat="false" ht="23.85" hidden="false" customHeight="false" outlineLevel="0" collapsed="false">
      <c r="A52" s="6" t="s">
        <v>356</v>
      </c>
      <c r="B52" s="6" t="s">
        <v>357</v>
      </c>
      <c r="C52" s="6" t="s">
        <v>287</v>
      </c>
      <c r="D52" s="6" t="s">
        <v>348</v>
      </c>
      <c r="E52" s="6" t="s">
        <v>349</v>
      </c>
      <c r="F52" s="6" t="s">
        <v>350</v>
      </c>
      <c r="G52" s="6" t="s">
        <v>358</v>
      </c>
      <c r="H52" s="6" t="s">
        <v>359</v>
      </c>
      <c r="I52" s="6" t="s">
        <v>360</v>
      </c>
      <c r="J52" s="6" t="n">
        <v>3.95</v>
      </c>
      <c r="K52" s="6" t="s">
        <v>288</v>
      </c>
      <c r="L52" s="6" t="s">
        <v>288</v>
      </c>
      <c r="M52" s="6" t="n">
        <v>10</v>
      </c>
      <c r="N52" s="6" t="s">
        <v>361</v>
      </c>
      <c r="O52" s="6" t="s">
        <v>362</v>
      </c>
      <c r="P52" s="7" t="s">
        <v>55</v>
      </c>
      <c r="Q52" s="7"/>
      <c r="R52" s="7"/>
      <c r="S52" s="7"/>
      <c r="T52" s="7"/>
      <c r="U52" s="7"/>
      <c r="V52" s="7"/>
      <c r="W52" s="7"/>
    </row>
    <row r="53" customFormat="false" ht="15" hidden="false" customHeight="false" outlineLevel="0" collapsed="false">
      <c r="A53" s="6" t="s">
        <v>363</v>
      </c>
      <c r="B53" s="6" t="s">
        <v>364</v>
      </c>
      <c r="C53" s="6" t="s">
        <v>67</v>
      </c>
      <c r="D53" s="6" t="s">
        <v>348</v>
      </c>
      <c r="E53" s="6" t="s">
        <v>349</v>
      </c>
      <c r="F53" s="6" t="s">
        <v>350</v>
      </c>
      <c r="G53" s="6" t="s">
        <v>365</v>
      </c>
      <c r="H53" s="6" t="s">
        <v>366</v>
      </c>
      <c r="I53" s="6" t="s">
        <v>70</v>
      </c>
      <c r="J53" s="6" t="n">
        <v>3.85</v>
      </c>
      <c r="K53" s="6" t="s">
        <v>62</v>
      </c>
      <c r="L53" s="6" t="s">
        <v>195</v>
      </c>
      <c r="M53" s="6" t="n">
        <v>9</v>
      </c>
      <c r="N53" s="6" t="s">
        <v>206</v>
      </c>
      <c r="O53" s="6" t="s">
        <v>367</v>
      </c>
      <c r="P53" s="7" t="s">
        <v>55</v>
      </c>
      <c r="Q53" s="7"/>
      <c r="R53" s="7"/>
      <c r="S53" s="7"/>
      <c r="T53" s="7"/>
      <c r="U53" s="7"/>
      <c r="V53" s="7"/>
      <c r="W53" s="7"/>
    </row>
    <row r="54" customFormat="false" ht="15" hidden="false" customHeight="false" outlineLevel="0" collapsed="false">
      <c r="A54" s="6" t="s">
        <v>368</v>
      </c>
      <c r="B54" s="6" t="s">
        <v>369</v>
      </c>
      <c r="C54" s="6" t="s">
        <v>164</v>
      </c>
      <c r="D54" s="6" t="s">
        <v>348</v>
      </c>
      <c r="E54" s="6" t="s">
        <v>349</v>
      </c>
      <c r="F54" s="6" t="s">
        <v>350</v>
      </c>
      <c r="G54" s="6" t="s">
        <v>370</v>
      </c>
      <c r="H54" s="6" t="s">
        <v>371</v>
      </c>
      <c r="I54" s="6" t="s">
        <v>200</v>
      </c>
      <c r="J54" s="6" t="n">
        <v>3.8</v>
      </c>
      <c r="K54" s="6" t="s">
        <v>372</v>
      </c>
      <c r="L54" s="6" t="s">
        <v>309</v>
      </c>
      <c r="M54" s="6" t="n">
        <v>9</v>
      </c>
      <c r="N54" s="6" t="s">
        <v>181</v>
      </c>
      <c r="O54" s="6" t="s">
        <v>373</v>
      </c>
      <c r="P54" s="7" t="s">
        <v>55</v>
      </c>
      <c r="Q54" s="7"/>
      <c r="R54" s="7"/>
      <c r="S54" s="7"/>
      <c r="T54" s="7"/>
      <c r="U54" s="7"/>
      <c r="V54" s="7"/>
      <c r="W54" s="7"/>
    </row>
    <row r="55" customFormat="false" ht="23.85" hidden="false" customHeight="false" outlineLevel="0" collapsed="false">
      <c r="A55" s="6" t="s">
        <v>374</v>
      </c>
      <c r="B55" s="6" t="s">
        <v>375</v>
      </c>
      <c r="C55" s="6" t="s">
        <v>376</v>
      </c>
      <c r="D55" s="6" t="s">
        <v>348</v>
      </c>
      <c r="E55" s="6" t="s">
        <v>349</v>
      </c>
      <c r="F55" s="6" t="s">
        <v>350</v>
      </c>
      <c r="G55" s="6" t="s">
        <v>377</v>
      </c>
      <c r="H55" s="6" t="s">
        <v>378</v>
      </c>
      <c r="I55" s="6" t="s">
        <v>233</v>
      </c>
      <c r="J55" s="6" t="n">
        <v>3.8</v>
      </c>
      <c r="K55" s="6" t="s">
        <v>379</v>
      </c>
      <c r="L55" s="6" t="s">
        <v>302</v>
      </c>
      <c r="M55" s="6" t="n">
        <v>8</v>
      </c>
      <c r="N55" s="6" t="s">
        <v>380</v>
      </c>
      <c r="O55" s="6" t="s">
        <v>381</v>
      </c>
      <c r="P55" s="7" t="s">
        <v>55</v>
      </c>
      <c r="Q55" s="7"/>
      <c r="R55" s="7"/>
      <c r="S55" s="7"/>
      <c r="T55" s="7"/>
      <c r="U55" s="7"/>
      <c r="V55" s="7"/>
      <c r="W55" s="7"/>
    </row>
    <row r="56" customFormat="false" ht="15" hidden="false" customHeight="false" outlineLevel="0" collapsed="false">
      <c r="A56" s="6" t="s">
        <v>382</v>
      </c>
      <c r="B56" s="6" t="s">
        <v>383</v>
      </c>
      <c r="C56" s="6" t="s">
        <v>384</v>
      </c>
      <c r="D56" s="6" t="s">
        <v>348</v>
      </c>
      <c r="E56" s="6" t="s">
        <v>349</v>
      </c>
      <c r="F56" s="6" t="s">
        <v>350</v>
      </c>
      <c r="G56" s="6" t="s">
        <v>385</v>
      </c>
      <c r="H56" s="6" t="s">
        <v>386</v>
      </c>
      <c r="I56" s="6" t="s">
        <v>210</v>
      </c>
      <c r="J56" s="6" t="n">
        <v>3.65</v>
      </c>
      <c r="K56" s="6" t="s">
        <v>288</v>
      </c>
      <c r="L56" s="6" t="s">
        <v>288</v>
      </c>
      <c r="M56" s="6" t="n">
        <v>5</v>
      </c>
      <c r="N56" s="6" t="s">
        <v>354</v>
      </c>
      <c r="O56" s="6" t="s">
        <v>387</v>
      </c>
      <c r="P56" s="7" t="s">
        <v>55</v>
      </c>
      <c r="Q56" s="7"/>
      <c r="R56" s="7"/>
      <c r="S56" s="7"/>
      <c r="T56" s="7"/>
      <c r="U56" s="7"/>
      <c r="V56" s="7"/>
      <c r="W56" s="7"/>
    </row>
    <row r="57" customFormat="false" ht="23.85" hidden="false" customHeight="false" outlineLevel="0" collapsed="false">
      <c r="A57" s="6" t="s">
        <v>388</v>
      </c>
      <c r="B57" s="6" t="s">
        <v>389</v>
      </c>
      <c r="C57" s="6" t="s">
        <v>384</v>
      </c>
      <c r="D57" s="6" t="s">
        <v>348</v>
      </c>
      <c r="E57" s="6" t="s">
        <v>349</v>
      </c>
      <c r="F57" s="6" t="s">
        <v>350</v>
      </c>
      <c r="G57" s="6" t="s">
        <v>385</v>
      </c>
      <c r="H57" s="6" t="s">
        <v>386</v>
      </c>
      <c r="I57" s="6" t="s">
        <v>390</v>
      </c>
      <c r="J57" s="6" t="n">
        <v>3.6</v>
      </c>
      <c r="K57" s="6" t="s">
        <v>288</v>
      </c>
      <c r="L57" s="6" t="s">
        <v>302</v>
      </c>
      <c r="M57" s="6" t="n">
        <v>5</v>
      </c>
      <c r="N57" s="6" t="s">
        <v>382</v>
      </c>
      <c r="O57" s="6" t="s">
        <v>391</v>
      </c>
      <c r="P57" s="7" t="s">
        <v>55</v>
      </c>
      <c r="Q57" s="7"/>
      <c r="R57" s="7"/>
      <c r="S57" s="7"/>
      <c r="T57" s="7"/>
      <c r="U57" s="7"/>
      <c r="V57" s="7"/>
      <c r="W57" s="7"/>
    </row>
    <row r="58" customFormat="false" ht="15" hidden="false" customHeight="false" outlineLevel="0" collapsed="false">
      <c r="A58" s="6" t="s">
        <v>392</v>
      </c>
      <c r="B58" s="6" t="s">
        <v>393</v>
      </c>
      <c r="C58" s="6" t="s">
        <v>45</v>
      </c>
      <c r="D58" s="6" t="s">
        <v>348</v>
      </c>
      <c r="E58" s="6" t="s">
        <v>349</v>
      </c>
      <c r="F58" s="6" t="s">
        <v>350</v>
      </c>
      <c r="G58" s="6" t="s">
        <v>394</v>
      </c>
      <c r="H58" s="6" t="s">
        <v>395</v>
      </c>
      <c r="I58" s="6" t="s">
        <v>112</v>
      </c>
      <c r="J58" s="6" t="n">
        <v>3.55</v>
      </c>
      <c r="K58" s="6" t="s">
        <v>216</v>
      </c>
      <c r="L58" s="6" t="s">
        <v>50</v>
      </c>
      <c r="M58" s="6" t="n">
        <v>4</v>
      </c>
      <c r="N58" s="6" t="s">
        <v>212</v>
      </c>
      <c r="O58" s="6" t="s">
        <v>396</v>
      </c>
      <c r="P58" s="7" t="s">
        <v>55</v>
      </c>
      <c r="Q58" s="7"/>
      <c r="R58" s="7"/>
      <c r="S58" s="7"/>
      <c r="T58" s="7"/>
      <c r="U58" s="7"/>
      <c r="V58" s="7"/>
      <c r="W58" s="7"/>
    </row>
    <row r="59" customFormat="false" ht="15" hidden="false" customHeight="false" outlineLevel="0" collapsed="false">
      <c r="A59" s="6" t="s">
        <v>397</v>
      </c>
      <c r="B59" s="6" t="s">
        <v>398</v>
      </c>
      <c r="C59" s="6" t="s">
        <v>399</v>
      </c>
      <c r="D59" s="6" t="s">
        <v>348</v>
      </c>
      <c r="E59" s="6" t="s">
        <v>349</v>
      </c>
      <c r="F59" s="6" t="s">
        <v>350</v>
      </c>
      <c r="G59" s="6" t="s">
        <v>394</v>
      </c>
      <c r="H59" s="6" t="s">
        <v>395</v>
      </c>
      <c r="I59" s="6" t="s">
        <v>233</v>
      </c>
      <c r="J59" s="6" t="n">
        <v>3.45</v>
      </c>
      <c r="K59" s="6" t="s">
        <v>400</v>
      </c>
      <c r="L59" s="6" t="s">
        <v>309</v>
      </c>
      <c r="M59" s="6" t="n">
        <v>7</v>
      </c>
      <c r="N59" s="6" t="s">
        <v>305</v>
      </c>
      <c r="O59" s="6" t="s">
        <v>401</v>
      </c>
      <c r="P59" s="7" t="s">
        <v>55</v>
      </c>
      <c r="Q59" s="7"/>
      <c r="R59" s="7"/>
      <c r="S59" s="7"/>
      <c r="T59" s="7"/>
      <c r="U59" s="7"/>
      <c r="V59" s="7"/>
      <c r="W59" s="7"/>
    </row>
    <row r="60" customFormat="false" ht="15" hidden="false" customHeight="false" outlineLevel="0" collapsed="false">
      <c r="A60" s="6" t="s">
        <v>402</v>
      </c>
      <c r="B60" s="6" t="s">
        <v>403</v>
      </c>
      <c r="C60" s="6" t="s">
        <v>404</v>
      </c>
      <c r="D60" s="6" t="s">
        <v>405</v>
      </c>
      <c r="E60" s="6" t="s">
        <v>406</v>
      </c>
      <c r="F60" s="6" t="s">
        <v>407</v>
      </c>
      <c r="G60" s="6" t="s">
        <v>408</v>
      </c>
      <c r="H60" s="6" t="s">
        <v>409</v>
      </c>
      <c r="I60" s="6" t="s">
        <v>233</v>
      </c>
      <c r="J60" s="6" t="n">
        <v>3.95</v>
      </c>
      <c r="K60" s="6" t="s">
        <v>62</v>
      </c>
      <c r="L60" s="6" t="s">
        <v>309</v>
      </c>
      <c r="M60" s="6" t="n">
        <v>20</v>
      </c>
      <c r="N60" s="6" t="s">
        <v>410</v>
      </c>
      <c r="O60" s="6" t="s">
        <v>411</v>
      </c>
      <c r="P60" s="7" t="s">
        <v>55</v>
      </c>
      <c r="Q60" s="7"/>
      <c r="R60" s="7"/>
      <c r="S60" s="7"/>
      <c r="T60" s="7"/>
      <c r="U60" s="7"/>
      <c r="V60" s="7"/>
      <c r="W60" s="7"/>
    </row>
    <row r="61" customFormat="false" ht="15" hidden="false" customHeight="false" outlineLevel="0" collapsed="false">
      <c r="A61" s="6" t="s">
        <v>412</v>
      </c>
      <c r="B61" s="6" t="s">
        <v>413</v>
      </c>
      <c r="C61" s="6" t="s">
        <v>414</v>
      </c>
      <c r="D61" s="6" t="s">
        <v>405</v>
      </c>
      <c r="E61" s="6" t="s">
        <v>406</v>
      </c>
      <c r="F61" s="6" t="s">
        <v>407</v>
      </c>
      <c r="G61" s="6" t="s">
        <v>415</v>
      </c>
      <c r="H61" s="6" t="s">
        <v>416</v>
      </c>
      <c r="I61" s="6" t="s">
        <v>233</v>
      </c>
      <c r="J61" s="6" t="n">
        <v>4.1</v>
      </c>
      <c r="K61" s="6" t="s">
        <v>62</v>
      </c>
      <c r="L61" s="6" t="s">
        <v>309</v>
      </c>
      <c r="M61" s="6" t="n">
        <v>25</v>
      </c>
      <c r="N61" s="6" t="s">
        <v>417</v>
      </c>
      <c r="O61" s="6" t="s">
        <v>418</v>
      </c>
      <c r="P61" s="7" t="s">
        <v>55</v>
      </c>
      <c r="Q61" s="7"/>
      <c r="R61" s="7"/>
      <c r="S61" s="7"/>
      <c r="T61" s="7"/>
      <c r="U61" s="7"/>
      <c r="V61" s="7"/>
      <c r="W61" s="7"/>
    </row>
    <row r="62" customFormat="false" ht="15" hidden="false" customHeight="false" outlineLevel="0" collapsed="false">
      <c r="A62" s="6" t="s">
        <v>419</v>
      </c>
      <c r="B62" s="6" t="s">
        <v>420</v>
      </c>
      <c r="C62" s="6" t="s">
        <v>421</v>
      </c>
      <c r="D62" s="6" t="s">
        <v>405</v>
      </c>
      <c r="E62" s="6" t="s">
        <v>406</v>
      </c>
      <c r="F62" s="6" t="s">
        <v>407</v>
      </c>
      <c r="G62" s="6" t="s">
        <v>422</v>
      </c>
      <c r="H62" s="6" t="s">
        <v>423</v>
      </c>
      <c r="I62" s="6" t="s">
        <v>233</v>
      </c>
      <c r="J62" s="6" t="n">
        <v>3.5</v>
      </c>
      <c r="K62" s="6" t="s">
        <v>276</v>
      </c>
      <c r="L62" s="6" t="s">
        <v>195</v>
      </c>
      <c r="M62" s="6" t="n">
        <v>12</v>
      </c>
      <c r="N62" s="6" t="s">
        <v>402</v>
      </c>
      <c r="O62" s="6" t="s">
        <v>424</v>
      </c>
      <c r="P62" s="7" t="s">
        <v>55</v>
      </c>
      <c r="Q62" s="7"/>
      <c r="R62" s="7"/>
      <c r="S62" s="7"/>
      <c r="T62" s="7"/>
      <c r="U62" s="7"/>
      <c r="V62" s="7"/>
      <c r="W62" s="7"/>
    </row>
    <row r="63" customFormat="false" ht="15" hidden="false" customHeight="false" outlineLevel="0" collapsed="false">
      <c r="A63" s="6" t="s">
        <v>425</v>
      </c>
      <c r="B63" s="6" t="s">
        <v>426</v>
      </c>
      <c r="C63" s="6" t="s">
        <v>427</v>
      </c>
      <c r="D63" s="6" t="s">
        <v>405</v>
      </c>
      <c r="E63" s="6" t="s">
        <v>406</v>
      </c>
      <c r="F63" s="6" t="s">
        <v>407</v>
      </c>
      <c r="G63" s="6" t="s">
        <v>428</v>
      </c>
      <c r="H63" s="6" t="s">
        <v>429</v>
      </c>
      <c r="I63" s="6" t="s">
        <v>233</v>
      </c>
      <c r="J63" s="6" t="n">
        <v>3.45</v>
      </c>
      <c r="K63" s="6" t="s">
        <v>430</v>
      </c>
      <c r="L63" s="6" t="s">
        <v>309</v>
      </c>
      <c r="M63" s="6" t="n">
        <v>10</v>
      </c>
      <c r="N63" s="6" t="s">
        <v>402</v>
      </c>
      <c r="O63" s="6" t="s">
        <v>431</v>
      </c>
      <c r="P63" s="7" t="s">
        <v>55</v>
      </c>
      <c r="Q63" s="7"/>
      <c r="R63" s="7"/>
      <c r="S63" s="7"/>
      <c r="T63" s="7"/>
      <c r="U63" s="7"/>
      <c r="V63" s="7"/>
      <c r="W63" s="7"/>
    </row>
    <row r="64" customFormat="false" ht="15" hidden="false" customHeight="false" outlineLevel="0" collapsed="false">
      <c r="A64" s="6" t="s">
        <v>432</v>
      </c>
      <c r="B64" s="6" t="s">
        <v>433</v>
      </c>
      <c r="C64" s="6" t="s">
        <v>434</v>
      </c>
      <c r="D64" s="6" t="s">
        <v>405</v>
      </c>
      <c r="E64" s="6" t="s">
        <v>406</v>
      </c>
      <c r="F64" s="6" t="s">
        <v>407</v>
      </c>
      <c r="G64" s="6" t="s">
        <v>435</v>
      </c>
      <c r="H64" s="6" t="s">
        <v>436</v>
      </c>
      <c r="I64" s="6" t="s">
        <v>233</v>
      </c>
      <c r="J64" s="6" t="n">
        <v>3.4</v>
      </c>
      <c r="K64" s="6" t="s">
        <v>437</v>
      </c>
      <c r="L64" s="6" t="s">
        <v>288</v>
      </c>
      <c r="M64" s="6" t="n">
        <v>10</v>
      </c>
      <c r="N64" s="6" t="s">
        <v>402</v>
      </c>
      <c r="O64" s="6" t="s">
        <v>438</v>
      </c>
      <c r="P64" s="7" t="s">
        <v>55</v>
      </c>
      <c r="Q64" s="7"/>
      <c r="R64" s="7"/>
      <c r="S64" s="7"/>
      <c r="T64" s="7"/>
      <c r="U64" s="7"/>
      <c r="V64" s="7"/>
      <c r="W64" s="7"/>
    </row>
    <row r="65" customFormat="false" ht="15" hidden="false" customHeight="false" outlineLevel="0" collapsed="false">
      <c r="A65" s="6" t="s">
        <v>439</v>
      </c>
      <c r="B65" s="6" t="s">
        <v>440</v>
      </c>
      <c r="C65" s="6" t="s">
        <v>127</v>
      </c>
      <c r="D65" s="6" t="s">
        <v>405</v>
      </c>
      <c r="E65" s="6" t="s">
        <v>406</v>
      </c>
      <c r="F65" s="6" t="s">
        <v>407</v>
      </c>
      <c r="G65" s="6" t="s">
        <v>441</v>
      </c>
      <c r="H65" s="6" t="s">
        <v>442</v>
      </c>
      <c r="I65" s="6" t="s">
        <v>233</v>
      </c>
      <c r="J65" s="6" t="n">
        <v>3.5</v>
      </c>
      <c r="K65" s="6" t="s">
        <v>283</v>
      </c>
      <c r="L65" s="6" t="s">
        <v>302</v>
      </c>
      <c r="M65" s="6" t="n">
        <v>6</v>
      </c>
      <c r="N65" s="6" t="s">
        <v>150</v>
      </c>
      <c r="O65" s="6" t="s">
        <v>443</v>
      </c>
      <c r="P65" s="7" t="s">
        <v>55</v>
      </c>
      <c r="Q65" s="7"/>
      <c r="R65" s="7"/>
      <c r="S65" s="7"/>
      <c r="T65" s="7"/>
      <c r="U65" s="7"/>
      <c r="V65" s="7"/>
      <c r="W65" s="7"/>
    </row>
    <row r="66" customFormat="false" ht="15" hidden="false" customHeight="false" outlineLevel="0" collapsed="false">
      <c r="A66" s="6" t="s">
        <v>444</v>
      </c>
      <c r="B66" s="6" t="s">
        <v>445</v>
      </c>
      <c r="C66" s="6" t="s">
        <v>157</v>
      </c>
      <c r="D66" s="6" t="s">
        <v>405</v>
      </c>
      <c r="E66" s="6" t="s">
        <v>406</v>
      </c>
      <c r="F66" s="6" t="s">
        <v>407</v>
      </c>
      <c r="G66" s="6" t="s">
        <v>441</v>
      </c>
      <c r="H66" s="6" t="s">
        <v>442</v>
      </c>
      <c r="I66" s="6" t="s">
        <v>233</v>
      </c>
      <c r="J66" s="6" t="n">
        <v>3.4</v>
      </c>
      <c r="K66" s="6" t="s">
        <v>62</v>
      </c>
      <c r="L66" s="6" t="s">
        <v>50</v>
      </c>
      <c r="M66" s="6" t="n">
        <v>8</v>
      </c>
      <c r="N66" s="6" t="s">
        <v>446</v>
      </c>
      <c r="O66" s="6" t="s">
        <v>447</v>
      </c>
      <c r="P66" s="7" t="s">
        <v>55</v>
      </c>
      <c r="Q66" s="7"/>
      <c r="R66" s="7"/>
      <c r="S66" s="7"/>
      <c r="T66" s="7"/>
      <c r="U66" s="7"/>
      <c r="V66" s="7"/>
      <c r="W66" s="7"/>
    </row>
    <row r="67" customFormat="false" ht="15" hidden="false" customHeight="false" outlineLevel="0" collapsed="false">
      <c r="A67" s="6" t="s">
        <v>448</v>
      </c>
      <c r="B67" s="6" t="s">
        <v>449</v>
      </c>
      <c r="C67" s="6" t="s">
        <v>45</v>
      </c>
      <c r="D67" s="6" t="s">
        <v>405</v>
      </c>
      <c r="E67" s="6" t="s">
        <v>406</v>
      </c>
      <c r="F67" s="6" t="s">
        <v>407</v>
      </c>
      <c r="G67" s="6" t="s">
        <v>441</v>
      </c>
      <c r="H67" s="6" t="s">
        <v>442</v>
      </c>
      <c r="I67" s="6" t="s">
        <v>51</v>
      </c>
      <c r="J67" s="6" t="n">
        <v>3.35</v>
      </c>
      <c r="K67" s="6" t="s">
        <v>450</v>
      </c>
      <c r="L67" s="6" t="s">
        <v>50</v>
      </c>
      <c r="M67" s="6" t="n">
        <v>10</v>
      </c>
      <c r="N67" s="6" t="s">
        <v>444</v>
      </c>
      <c r="O67" s="6" t="s">
        <v>451</v>
      </c>
      <c r="P67" s="7" t="s">
        <v>55</v>
      </c>
      <c r="Q67" s="7"/>
      <c r="R67" s="7"/>
      <c r="S67" s="7"/>
      <c r="T67" s="7"/>
      <c r="U67" s="7"/>
      <c r="V67" s="7"/>
      <c r="W67" s="7"/>
    </row>
  </sheetData>
  <autoFilter ref="A1:W67"/>
  <dataValidations count="2">
    <dataValidation allowBlank="true" errorStyle="stop" operator="between" showDropDown="false" showErrorMessage="false" showInputMessage="false" sqref="P2:P67" type="list">
      <formula1>"Planned,In Progress,Built,Testing,Deployed-Canary,GA,Deferred,Skipped(trigger)"</formula1>
      <formula2>0</formula2>
    </dataValidation>
    <dataValidation allowBlank="true" errorStyle="stop" operator="between" showDropDown="false" showErrorMessage="false" showInputMessage="false" sqref="Q2:T67" type="list">
      <formula1>"Pending,Done,N/A"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1"/>
    <col collapsed="false" customWidth="true" hidden="false" outlineLevel="0" max="3" min="3" style="0" width="40"/>
    <col collapsed="false" customWidth="true" hidden="false" outlineLevel="0" max="4" min="4" style="0" width="7"/>
    <col collapsed="false" customWidth="true" hidden="false" outlineLevel="0" max="5" min="5" style="0" width="9"/>
    <col collapsed="false" customWidth="true" hidden="false" outlineLevel="0" max="7" min="6" style="0" width="20"/>
    <col collapsed="false" customWidth="true" hidden="false" outlineLevel="0" max="9" min="8" style="0" width="11"/>
    <col collapsed="false" customWidth="true" hidden="false" outlineLevel="0" max="10" min="10" style="0" width="14"/>
    <col collapsed="false" customWidth="true" hidden="false" outlineLevel="0" max="11" min="11" style="0" width="30"/>
  </cols>
  <sheetData>
    <row r="1" customFormat="false" ht="35.05" hidden="false" customHeight="false" outlineLevel="0" collapsed="false">
      <c r="A1" s="5" t="s">
        <v>452</v>
      </c>
      <c r="B1" s="5" t="s">
        <v>26</v>
      </c>
      <c r="C1" s="5" t="s">
        <v>453</v>
      </c>
      <c r="D1" s="5" t="s">
        <v>23</v>
      </c>
      <c r="E1" s="5" t="s">
        <v>24</v>
      </c>
      <c r="F1" s="5" t="s">
        <v>454</v>
      </c>
      <c r="G1" s="5" t="s">
        <v>455</v>
      </c>
      <c r="H1" s="5" t="s">
        <v>35</v>
      </c>
      <c r="I1" s="5" t="s">
        <v>456</v>
      </c>
      <c r="J1" s="5" t="s">
        <v>457</v>
      </c>
      <c r="K1" s="5" t="s">
        <v>458</v>
      </c>
    </row>
    <row r="2" customFormat="false" ht="15" hidden="false" customHeight="false" outlineLevel="0" collapsed="false">
      <c r="A2" s="6" t="n">
        <v>1</v>
      </c>
      <c r="B2" s="6" t="s">
        <v>49</v>
      </c>
      <c r="C2" s="6" t="s">
        <v>459</v>
      </c>
      <c r="D2" s="6" t="s">
        <v>46</v>
      </c>
      <c r="E2" s="6" t="s">
        <v>47</v>
      </c>
      <c r="F2" s="6" t="s">
        <v>53</v>
      </c>
      <c r="G2" s="6" t="s">
        <v>460</v>
      </c>
      <c r="H2" s="7" t="s">
        <v>55</v>
      </c>
      <c r="I2" s="7"/>
      <c r="J2" s="7"/>
      <c r="K2" s="7"/>
    </row>
    <row r="3" customFormat="false" ht="15" hidden="false" customHeight="false" outlineLevel="0" collapsed="false">
      <c r="A3" s="6" t="n">
        <v>2</v>
      </c>
      <c r="B3" s="6" t="s">
        <v>59</v>
      </c>
      <c r="C3" s="6" t="s">
        <v>461</v>
      </c>
      <c r="D3" s="6" t="s">
        <v>46</v>
      </c>
      <c r="E3" s="6" t="s">
        <v>47</v>
      </c>
      <c r="F3" s="6" t="s">
        <v>49</v>
      </c>
      <c r="G3" s="6" t="s">
        <v>56</v>
      </c>
      <c r="H3" s="7" t="s">
        <v>55</v>
      </c>
      <c r="I3" s="7"/>
      <c r="J3" s="7"/>
      <c r="K3" s="7"/>
    </row>
    <row r="4" customFormat="false" ht="15" hidden="false" customHeight="false" outlineLevel="0" collapsed="false">
      <c r="A4" s="6" t="n">
        <v>3</v>
      </c>
      <c r="B4" s="6" t="s">
        <v>68</v>
      </c>
      <c r="C4" s="6" t="s">
        <v>462</v>
      </c>
      <c r="D4" s="6" t="s">
        <v>46</v>
      </c>
      <c r="E4" s="6" t="s">
        <v>47</v>
      </c>
      <c r="F4" s="6" t="s">
        <v>49</v>
      </c>
      <c r="G4" s="6" t="s">
        <v>65</v>
      </c>
      <c r="H4" s="7" t="s">
        <v>55</v>
      </c>
      <c r="I4" s="7"/>
      <c r="J4" s="7"/>
      <c r="K4" s="7"/>
    </row>
    <row r="5" customFormat="false" ht="15" hidden="false" customHeight="false" outlineLevel="0" collapsed="false">
      <c r="A5" s="6" t="n">
        <v>4</v>
      </c>
      <c r="B5" s="6" t="s">
        <v>75</v>
      </c>
      <c r="C5" s="6" t="s">
        <v>463</v>
      </c>
      <c r="D5" s="6" t="s">
        <v>46</v>
      </c>
      <c r="E5" s="6" t="s">
        <v>47</v>
      </c>
      <c r="F5" s="6" t="s">
        <v>68</v>
      </c>
      <c r="G5" s="6" t="s">
        <v>73</v>
      </c>
      <c r="H5" s="7" t="s">
        <v>55</v>
      </c>
      <c r="I5" s="7"/>
      <c r="J5" s="7"/>
      <c r="K5" s="7"/>
    </row>
    <row r="6" customFormat="false" ht="15" hidden="false" customHeight="false" outlineLevel="0" collapsed="false">
      <c r="A6" s="6" t="n">
        <v>5</v>
      </c>
      <c r="B6" s="6" t="s">
        <v>83</v>
      </c>
      <c r="C6" s="6" t="s">
        <v>464</v>
      </c>
      <c r="D6" s="6" t="s">
        <v>46</v>
      </c>
      <c r="E6" s="6" t="s">
        <v>47</v>
      </c>
      <c r="F6" s="6" t="s">
        <v>59</v>
      </c>
      <c r="G6" s="6" t="s">
        <v>81</v>
      </c>
      <c r="H6" s="7" t="s">
        <v>55</v>
      </c>
      <c r="I6" s="7"/>
      <c r="J6" s="7"/>
      <c r="K6" s="7"/>
    </row>
    <row r="7" customFormat="false" ht="15" hidden="false" customHeight="false" outlineLevel="0" collapsed="false">
      <c r="A7" s="6" t="n">
        <v>6</v>
      </c>
      <c r="B7" s="6" t="s">
        <v>89</v>
      </c>
      <c r="C7" s="6" t="s">
        <v>88</v>
      </c>
      <c r="D7" s="6" t="s">
        <v>46</v>
      </c>
      <c r="E7" s="6" t="s">
        <v>47</v>
      </c>
      <c r="F7" s="6" t="s">
        <v>465</v>
      </c>
      <c r="G7" s="6" t="s">
        <v>87</v>
      </c>
      <c r="H7" s="7" t="s">
        <v>55</v>
      </c>
      <c r="I7" s="7"/>
      <c r="J7" s="7"/>
      <c r="K7" s="7"/>
    </row>
    <row r="8" customFormat="false" ht="15" hidden="false" customHeight="false" outlineLevel="0" collapsed="false">
      <c r="A8" s="6" t="n">
        <v>7</v>
      </c>
      <c r="B8" s="6" t="s">
        <v>96</v>
      </c>
      <c r="C8" s="6" t="s">
        <v>466</v>
      </c>
      <c r="D8" s="6" t="s">
        <v>46</v>
      </c>
      <c r="E8" s="6" t="s">
        <v>47</v>
      </c>
      <c r="F8" s="6" t="s">
        <v>49</v>
      </c>
      <c r="G8" s="6" t="s">
        <v>93</v>
      </c>
      <c r="H8" s="7" t="s">
        <v>55</v>
      </c>
      <c r="I8" s="7"/>
      <c r="J8" s="7"/>
      <c r="K8" s="7"/>
    </row>
    <row r="9" customFormat="false" ht="15" hidden="false" customHeight="false" outlineLevel="0" collapsed="false">
      <c r="A9" s="6" t="n">
        <v>8</v>
      </c>
      <c r="B9" s="6" t="s">
        <v>101</v>
      </c>
      <c r="C9" s="6" t="s">
        <v>467</v>
      </c>
      <c r="D9" s="6" t="s">
        <v>46</v>
      </c>
      <c r="E9" s="6" t="s">
        <v>47</v>
      </c>
      <c r="F9" s="6" t="s">
        <v>49</v>
      </c>
      <c r="G9" s="6" t="s">
        <v>99</v>
      </c>
      <c r="H9" s="7" t="s">
        <v>55</v>
      </c>
      <c r="I9" s="7"/>
      <c r="J9" s="7"/>
      <c r="K9" s="7"/>
    </row>
    <row r="10" customFormat="false" ht="15" hidden="false" customHeight="false" outlineLevel="0" collapsed="false">
      <c r="A10" s="6" t="n">
        <v>9</v>
      </c>
      <c r="B10" s="6" t="s">
        <v>116</v>
      </c>
      <c r="C10" s="6" t="s">
        <v>468</v>
      </c>
      <c r="D10" s="6" t="s">
        <v>46</v>
      </c>
      <c r="E10" s="6" t="s">
        <v>47</v>
      </c>
      <c r="F10" s="6" t="s">
        <v>75</v>
      </c>
      <c r="G10" s="6" t="s">
        <v>114</v>
      </c>
      <c r="H10" s="7" t="s">
        <v>55</v>
      </c>
      <c r="I10" s="7"/>
      <c r="J10" s="7"/>
      <c r="K10" s="7"/>
    </row>
    <row r="11" customFormat="false" ht="15" hidden="false" customHeight="false" outlineLevel="0" collapsed="false">
      <c r="A11" s="6" t="n">
        <v>10</v>
      </c>
      <c r="B11" s="6" t="s">
        <v>107</v>
      </c>
      <c r="C11" s="6" t="s">
        <v>469</v>
      </c>
      <c r="D11" s="6" t="s">
        <v>46</v>
      </c>
      <c r="E11" s="6" t="s">
        <v>47</v>
      </c>
      <c r="F11" s="6" t="s">
        <v>83</v>
      </c>
      <c r="G11" s="6" t="s">
        <v>104</v>
      </c>
      <c r="H11" s="7" t="s">
        <v>55</v>
      </c>
      <c r="I11" s="7"/>
      <c r="J11" s="7"/>
      <c r="K11" s="7"/>
    </row>
    <row r="12" customFormat="false" ht="15" hidden="false" customHeight="false" outlineLevel="0" collapsed="false">
      <c r="A12" s="6" t="n">
        <v>11</v>
      </c>
      <c r="B12" s="6" t="s">
        <v>121</v>
      </c>
      <c r="C12" s="6" t="s">
        <v>470</v>
      </c>
      <c r="D12" s="6" t="s">
        <v>46</v>
      </c>
      <c r="E12" s="6" t="s">
        <v>47</v>
      </c>
      <c r="F12" s="6" t="s">
        <v>49</v>
      </c>
      <c r="G12" s="6" t="s">
        <v>119</v>
      </c>
      <c r="H12" s="7" t="s">
        <v>55</v>
      </c>
      <c r="I12" s="7"/>
      <c r="J12" s="7"/>
      <c r="K12" s="7"/>
    </row>
    <row r="13" customFormat="false" ht="15" hidden="false" customHeight="false" outlineLevel="0" collapsed="false">
      <c r="A13" s="6" t="n">
        <v>12</v>
      </c>
      <c r="B13" s="6" t="s">
        <v>471</v>
      </c>
      <c r="C13" s="6" t="s">
        <v>472</v>
      </c>
      <c r="D13" s="6" t="s">
        <v>46</v>
      </c>
      <c r="E13" s="6" t="s">
        <v>473</v>
      </c>
      <c r="F13" s="6" t="s">
        <v>474</v>
      </c>
      <c r="G13" s="6" t="s">
        <v>53</v>
      </c>
      <c r="H13" s="7" t="s">
        <v>55</v>
      </c>
      <c r="I13" s="7"/>
      <c r="J13" s="7"/>
      <c r="K13" s="7"/>
    </row>
    <row r="14" customFormat="false" ht="15" hidden="false" customHeight="false" outlineLevel="0" collapsed="false">
      <c r="A14" s="6" t="n">
        <v>13</v>
      </c>
      <c r="B14" s="6" t="s">
        <v>131</v>
      </c>
      <c r="C14" s="6" t="s">
        <v>475</v>
      </c>
      <c r="D14" s="6" t="s">
        <v>128</v>
      </c>
      <c r="E14" s="6" t="s">
        <v>129</v>
      </c>
      <c r="F14" s="6" t="s">
        <v>471</v>
      </c>
      <c r="G14" s="6" t="s">
        <v>125</v>
      </c>
      <c r="H14" s="7" t="s">
        <v>55</v>
      </c>
      <c r="I14" s="7"/>
      <c r="J14" s="7"/>
      <c r="K14" s="7"/>
    </row>
    <row r="15" customFormat="false" ht="15" hidden="false" customHeight="false" outlineLevel="0" collapsed="false">
      <c r="A15" s="6" t="n">
        <v>14</v>
      </c>
      <c r="B15" s="6" t="s">
        <v>137</v>
      </c>
      <c r="C15" s="6" t="s">
        <v>476</v>
      </c>
      <c r="D15" s="6" t="s">
        <v>128</v>
      </c>
      <c r="E15" s="6" t="s">
        <v>129</v>
      </c>
      <c r="F15" s="6" t="s">
        <v>131</v>
      </c>
      <c r="G15" s="6" t="s">
        <v>135</v>
      </c>
      <c r="H15" s="7" t="s">
        <v>55</v>
      </c>
      <c r="I15" s="7"/>
      <c r="J15" s="7"/>
      <c r="K15" s="7"/>
    </row>
    <row r="16" customFormat="false" ht="15" hidden="false" customHeight="false" outlineLevel="0" collapsed="false">
      <c r="A16" s="6" t="n">
        <v>15</v>
      </c>
      <c r="B16" s="6" t="s">
        <v>143</v>
      </c>
      <c r="C16" s="6" t="s">
        <v>477</v>
      </c>
      <c r="D16" s="6" t="s">
        <v>128</v>
      </c>
      <c r="E16" s="6" t="s">
        <v>129</v>
      </c>
      <c r="F16" s="6" t="s">
        <v>137</v>
      </c>
      <c r="G16" s="6" t="s">
        <v>141</v>
      </c>
      <c r="H16" s="7" t="s">
        <v>55</v>
      </c>
      <c r="I16" s="7"/>
      <c r="J16" s="7"/>
      <c r="K16" s="7"/>
    </row>
    <row r="17" customFormat="false" ht="15" hidden="false" customHeight="false" outlineLevel="0" collapsed="false">
      <c r="A17" s="6" t="n">
        <v>16</v>
      </c>
      <c r="B17" s="6" t="s">
        <v>148</v>
      </c>
      <c r="C17" s="6" t="s">
        <v>478</v>
      </c>
      <c r="D17" s="6" t="s">
        <v>128</v>
      </c>
      <c r="E17" s="6" t="s">
        <v>129</v>
      </c>
      <c r="F17" s="6" t="s">
        <v>143</v>
      </c>
      <c r="G17" s="6" t="s">
        <v>146</v>
      </c>
      <c r="H17" s="7" t="s">
        <v>55</v>
      </c>
      <c r="I17" s="7"/>
      <c r="J17" s="7"/>
      <c r="K17" s="7"/>
    </row>
    <row r="18" customFormat="false" ht="15" hidden="false" customHeight="false" outlineLevel="0" collapsed="false">
      <c r="A18" s="6" t="n">
        <v>17</v>
      </c>
      <c r="B18" s="6" t="s">
        <v>152</v>
      </c>
      <c r="C18" s="6" t="s">
        <v>479</v>
      </c>
      <c r="D18" s="6" t="s">
        <v>128</v>
      </c>
      <c r="E18" s="6" t="s">
        <v>129</v>
      </c>
      <c r="F18" s="6" t="s">
        <v>137</v>
      </c>
      <c r="G18" s="6" t="s">
        <v>150</v>
      </c>
      <c r="H18" s="7" t="s">
        <v>55</v>
      </c>
      <c r="I18" s="7"/>
      <c r="J18" s="7"/>
      <c r="K18" s="7"/>
    </row>
    <row r="19" customFormat="false" ht="15" hidden="false" customHeight="false" outlineLevel="0" collapsed="false">
      <c r="A19" s="6" t="n">
        <v>18</v>
      </c>
      <c r="B19" s="6" t="s">
        <v>158</v>
      </c>
      <c r="C19" s="6" t="s">
        <v>480</v>
      </c>
      <c r="D19" s="6" t="s">
        <v>128</v>
      </c>
      <c r="E19" s="6" t="s">
        <v>129</v>
      </c>
      <c r="F19" s="6" t="s">
        <v>471</v>
      </c>
      <c r="G19" s="6" t="s">
        <v>155</v>
      </c>
      <c r="H19" s="7" t="s">
        <v>55</v>
      </c>
      <c r="I19" s="7"/>
      <c r="J19" s="7"/>
      <c r="K19" s="7"/>
    </row>
    <row r="20" customFormat="false" ht="15" hidden="false" customHeight="false" outlineLevel="0" collapsed="false">
      <c r="A20" s="6" t="n">
        <v>19</v>
      </c>
      <c r="B20" s="6" t="s">
        <v>165</v>
      </c>
      <c r="C20" s="6" t="s">
        <v>481</v>
      </c>
      <c r="D20" s="6" t="s">
        <v>128</v>
      </c>
      <c r="E20" s="6" t="s">
        <v>482</v>
      </c>
      <c r="F20" s="6" t="s">
        <v>483</v>
      </c>
      <c r="G20" s="6" t="s">
        <v>484</v>
      </c>
      <c r="H20" s="7" t="s">
        <v>55</v>
      </c>
      <c r="I20" s="7"/>
      <c r="J20" s="7"/>
      <c r="K20" s="7"/>
    </row>
    <row r="21" customFormat="false" ht="15" hidden="false" customHeight="false" outlineLevel="0" collapsed="false">
      <c r="A21" s="6" t="n">
        <v>20</v>
      </c>
      <c r="B21" s="6" t="s">
        <v>192</v>
      </c>
      <c r="C21" s="6" t="s">
        <v>485</v>
      </c>
      <c r="D21" s="6" t="s">
        <v>128</v>
      </c>
      <c r="E21" s="6" t="s">
        <v>482</v>
      </c>
      <c r="F21" s="6" t="s">
        <v>152</v>
      </c>
      <c r="G21" s="6" t="s">
        <v>486</v>
      </c>
      <c r="H21" s="7" t="s">
        <v>55</v>
      </c>
      <c r="I21" s="7"/>
      <c r="J21" s="7"/>
      <c r="K21" s="7"/>
    </row>
    <row r="22" customFormat="false" ht="15" hidden="false" customHeight="false" outlineLevel="0" collapsed="false">
      <c r="A22" s="6" t="n">
        <v>21</v>
      </c>
      <c r="B22" s="6" t="s">
        <v>175</v>
      </c>
      <c r="C22" s="6" t="s">
        <v>487</v>
      </c>
      <c r="D22" s="6" t="s">
        <v>128</v>
      </c>
      <c r="E22" s="6" t="s">
        <v>482</v>
      </c>
      <c r="F22" s="6" t="s">
        <v>488</v>
      </c>
      <c r="G22" s="6" t="s">
        <v>172</v>
      </c>
      <c r="H22" s="7" t="s">
        <v>55</v>
      </c>
      <c r="I22" s="7"/>
      <c r="J22" s="7"/>
      <c r="K22" s="7"/>
    </row>
    <row r="23" customFormat="false" ht="15" hidden="false" customHeight="false" outlineLevel="0" collapsed="false">
      <c r="A23" s="6" t="n">
        <v>22</v>
      </c>
      <c r="B23" s="6" t="s">
        <v>186</v>
      </c>
      <c r="C23" s="6" t="s">
        <v>489</v>
      </c>
      <c r="D23" s="6" t="s">
        <v>128</v>
      </c>
      <c r="E23" s="6" t="s">
        <v>490</v>
      </c>
      <c r="F23" s="6" t="s">
        <v>491</v>
      </c>
      <c r="G23" s="6" t="s">
        <v>492</v>
      </c>
      <c r="H23" s="7" t="s">
        <v>55</v>
      </c>
      <c r="I23" s="7"/>
      <c r="J23" s="7"/>
      <c r="K23" s="7"/>
    </row>
    <row r="24" customFormat="false" ht="15" hidden="false" customHeight="false" outlineLevel="0" collapsed="false">
      <c r="A24" s="6" t="n">
        <v>23</v>
      </c>
      <c r="B24" s="6" t="s">
        <v>208</v>
      </c>
      <c r="C24" s="6" t="s">
        <v>493</v>
      </c>
      <c r="D24" s="6" t="s">
        <v>128</v>
      </c>
      <c r="E24" s="6" t="s">
        <v>490</v>
      </c>
      <c r="F24" s="6" t="s">
        <v>471</v>
      </c>
      <c r="G24" s="6" t="s">
        <v>206</v>
      </c>
      <c r="H24" s="7" t="s">
        <v>55</v>
      </c>
      <c r="I24" s="7"/>
      <c r="J24" s="7"/>
      <c r="K24" s="7"/>
    </row>
    <row r="25" customFormat="false" ht="15" hidden="false" customHeight="false" outlineLevel="0" collapsed="false">
      <c r="A25" s="6" t="n">
        <v>24</v>
      </c>
      <c r="B25" s="6" t="s">
        <v>214</v>
      </c>
      <c r="C25" s="6" t="s">
        <v>494</v>
      </c>
      <c r="D25" s="6" t="s">
        <v>128</v>
      </c>
      <c r="E25" s="6" t="s">
        <v>490</v>
      </c>
      <c r="F25" s="6" t="s">
        <v>158</v>
      </c>
      <c r="G25" s="6" t="s">
        <v>212</v>
      </c>
      <c r="H25" s="7" t="s">
        <v>55</v>
      </c>
      <c r="I25" s="7"/>
      <c r="J25" s="7"/>
      <c r="K25" s="7"/>
    </row>
    <row r="26" customFormat="false" ht="15" hidden="false" customHeight="false" outlineLevel="0" collapsed="false">
      <c r="A26" s="6" t="n">
        <v>25</v>
      </c>
      <c r="B26" s="6" t="s">
        <v>221</v>
      </c>
      <c r="C26" s="6" t="s">
        <v>495</v>
      </c>
      <c r="D26" s="6" t="s">
        <v>128</v>
      </c>
      <c r="E26" s="6" t="s">
        <v>496</v>
      </c>
      <c r="F26" s="6" t="s">
        <v>223</v>
      </c>
      <c r="G26" s="6" t="s">
        <v>218</v>
      </c>
      <c r="H26" s="7" t="s">
        <v>55</v>
      </c>
      <c r="I26" s="7"/>
      <c r="J26" s="7"/>
      <c r="K26" s="7"/>
    </row>
    <row r="27" customFormat="false" ht="15" hidden="false" customHeight="false" outlineLevel="0" collapsed="false">
      <c r="A27" s="6" t="n">
        <v>26</v>
      </c>
      <c r="B27" s="6" t="s">
        <v>497</v>
      </c>
      <c r="C27" s="6" t="s">
        <v>498</v>
      </c>
      <c r="D27" s="6" t="s">
        <v>128</v>
      </c>
      <c r="E27" s="6" t="s">
        <v>496</v>
      </c>
      <c r="F27" s="6" t="s">
        <v>223</v>
      </c>
      <c r="G27" s="6" t="s">
        <v>53</v>
      </c>
      <c r="H27" s="7" t="s">
        <v>55</v>
      </c>
      <c r="I27" s="7"/>
      <c r="J27" s="7"/>
      <c r="K27" s="7"/>
    </row>
    <row r="28" customFormat="false" ht="15" hidden="false" customHeight="false" outlineLevel="0" collapsed="false">
      <c r="A28" s="6" t="n">
        <v>27</v>
      </c>
      <c r="B28" s="6" t="s">
        <v>231</v>
      </c>
      <c r="C28" s="6" t="s">
        <v>226</v>
      </c>
      <c r="D28" s="6" t="s">
        <v>228</v>
      </c>
      <c r="E28" s="6" t="s">
        <v>229</v>
      </c>
      <c r="F28" s="6" t="s">
        <v>497</v>
      </c>
      <c r="G28" s="6" t="s">
        <v>225</v>
      </c>
      <c r="H28" s="7" t="s">
        <v>55</v>
      </c>
      <c r="I28" s="7"/>
      <c r="J28" s="7"/>
      <c r="K28" s="7"/>
    </row>
    <row r="29" customFormat="false" ht="15" hidden="false" customHeight="false" outlineLevel="0" collapsed="false">
      <c r="A29" s="6" t="n">
        <v>28</v>
      </c>
      <c r="B29" s="6" t="s">
        <v>239</v>
      </c>
      <c r="C29" s="6" t="s">
        <v>499</v>
      </c>
      <c r="D29" s="6" t="s">
        <v>228</v>
      </c>
      <c r="E29" s="6" t="s">
        <v>229</v>
      </c>
      <c r="F29" s="6" t="s">
        <v>497</v>
      </c>
      <c r="G29" s="6" t="s">
        <v>237</v>
      </c>
      <c r="H29" s="7" t="s">
        <v>55</v>
      </c>
      <c r="I29" s="7"/>
      <c r="J29" s="7"/>
      <c r="K29" s="7"/>
    </row>
    <row r="30" customFormat="false" ht="15" hidden="false" customHeight="false" outlineLevel="0" collapsed="false">
      <c r="A30" s="6" t="n">
        <v>29</v>
      </c>
      <c r="B30" s="6" t="s">
        <v>244</v>
      </c>
      <c r="C30" s="6" t="s">
        <v>500</v>
      </c>
      <c r="D30" s="6" t="s">
        <v>228</v>
      </c>
      <c r="E30" s="6" t="s">
        <v>501</v>
      </c>
      <c r="F30" s="6" t="s">
        <v>502</v>
      </c>
      <c r="G30" s="6" t="s">
        <v>242</v>
      </c>
      <c r="H30" s="7" t="s">
        <v>55</v>
      </c>
      <c r="I30" s="7"/>
      <c r="J30" s="7"/>
      <c r="K30" s="7"/>
    </row>
    <row r="31" customFormat="false" ht="15" hidden="false" customHeight="false" outlineLevel="0" collapsed="false">
      <c r="A31" s="6" t="n">
        <v>30</v>
      </c>
      <c r="B31" s="6" t="s">
        <v>250</v>
      </c>
      <c r="C31" s="6" t="s">
        <v>503</v>
      </c>
      <c r="D31" s="6" t="s">
        <v>228</v>
      </c>
      <c r="E31" s="6" t="s">
        <v>501</v>
      </c>
      <c r="F31" s="6" t="s">
        <v>504</v>
      </c>
      <c r="G31" s="6" t="s">
        <v>248</v>
      </c>
      <c r="H31" s="7" t="s">
        <v>55</v>
      </c>
      <c r="I31" s="7"/>
      <c r="J31" s="7"/>
      <c r="K31" s="7"/>
    </row>
    <row r="32" customFormat="false" ht="15" hidden="false" customHeight="false" outlineLevel="0" collapsed="false">
      <c r="A32" s="6" t="n">
        <v>31</v>
      </c>
      <c r="B32" s="6" t="s">
        <v>258</v>
      </c>
      <c r="C32" s="6" t="s">
        <v>505</v>
      </c>
      <c r="D32" s="6" t="s">
        <v>228</v>
      </c>
      <c r="E32" s="6" t="s">
        <v>506</v>
      </c>
      <c r="F32" s="6" t="s">
        <v>497</v>
      </c>
      <c r="G32" s="6" t="s">
        <v>256</v>
      </c>
      <c r="H32" s="7" t="s">
        <v>55</v>
      </c>
      <c r="I32" s="7"/>
      <c r="J32" s="7"/>
      <c r="K32" s="7"/>
    </row>
    <row r="33" customFormat="false" ht="15" hidden="false" customHeight="false" outlineLevel="0" collapsed="false">
      <c r="A33" s="6" t="n">
        <v>32</v>
      </c>
      <c r="B33" s="6" t="s">
        <v>263</v>
      </c>
      <c r="C33" s="6" t="s">
        <v>507</v>
      </c>
      <c r="D33" s="6" t="s">
        <v>228</v>
      </c>
      <c r="E33" s="6" t="s">
        <v>506</v>
      </c>
      <c r="F33" s="6" t="s">
        <v>508</v>
      </c>
      <c r="G33" s="6" t="s">
        <v>261</v>
      </c>
      <c r="H33" s="7" t="s">
        <v>55</v>
      </c>
      <c r="I33" s="7"/>
      <c r="J33" s="7"/>
      <c r="K33" s="7"/>
    </row>
    <row r="34" customFormat="false" ht="15" hidden="false" customHeight="false" outlineLevel="0" collapsed="false">
      <c r="A34" s="6" t="n">
        <v>33</v>
      </c>
      <c r="B34" s="6" t="s">
        <v>269</v>
      </c>
      <c r="C34" s="6" t="s">
        <v>509</v>
      </c>
      <c r="D34" s="6" t="s">
        <v>228</v>
      </c>
      <c r="E34" s="6" t="s">
        <v>510</v>
      </c>
      <c r="F34" s="6" t="s">
        <v>152</v>
      </c>
      <c r="G34" s="6" t="s">
        <v>511</v>
      </c>
      <c r="H34" s="7" t="s">
        <v>55</v>
      </c>
      <c r="I34" s="7"/>
      <c r="J34" s="7"/>
      <c r="K34" s="7"/>
    </row>
    <row r="35" customFormat="false" ht="15" hidden="false" customHeight="false" outlineLevel="0" collapsed="false">
      <c r="A35" s="6" t="n">
        <v>34</v>
      </c>
      <c r="B35" s="6" t="s">
        <v>280</v>
      </c>
      <c r="C35" s="6" t="s">
        <v>512</v>
      </c>
      <c r="D35" s="6" t="s">
        <v>228</v>
      </c>
      <c r="E35" s="6" t="s">
        <v>510</v>
      </c>
      <c r="F35" s="6" t="s">
        <v>131</v>
      </c>
      <c r="G35" s="6" t="s">
        <v>513</v>
      </c>
      <c r="H35" s="7" t="s">
        <v>55</v>
      </c>
      <c r="I35" s="7"/>
      <c r="J35" s="7"/>
      <c r="K35" s="7"/>
    </row>
    <row r="36" customFormat="false" ht="15" hidden="false" customHeight="false" outlineLevel="0" collapsed="false">
      <c r="A36" s="6" t="n">
        <v>35</v>
      </c>
      <c r="B36" s="6" t="s">
        <v>514</v>
      </c>
      <c r="C36" s="6" t="s">
        <v>515</v>
      </c>
      <c r="D36" s="6" t="s">
        <v>228</v>
      </c>
      <c r="E36" s="6" t="s">
        <v>510</v>
      </c>
      <c r="F36" s="6" t="s">
        <v>516</v>
      </c>
      <c r="G36" s="6" t="s">
        <v>53</v>
      </c>
      <c r="H36" s="7" t="s">
        <v>55</v>
      </c>
      <c r="I36" s="7"/>
      <c r="J36" s="7"/>
      <c r="K36" s="7"/>
    </row>
    <row r="37" customFormat="false" ht="15" hidden="false" customHeight="false" outlineLevel="0" collapsed="false">
      <c r="A37" s="6" t="n">
        <v>36</v>
      </c>
      <c r="B37" s="6" t="s">
        <v>300</v>
      </c>
      <c r="C37" s="6" t="s">
        <v>517</v>
      </c>
      <c r="D37" s="6" t="s">
        <v>297</v>
      </c>
      <c r="E37" s="6" t="s">
        <v>298</v>
      </c>
      <c r="F37" s="6" t="s">
        <v>514</v>
      </c>
      <c r="G37" s="6" t="s">
        <v>294</v>
      </c>
      <c r="H37" s="7" t="s">
        <v>55</v>
      </c>
      <c r="I37" s="7"/>
      <c r="J37" s="7"/>
      <c r="K37" s="7"/>
    </row>
    <row r="38" customFormat="false" ht="15" hidden="false" customHeight="false" outlineLevel="0" collapsed="false">
      <c r="A38" s="6" t="n">
        <v>37</v>
      </c>
      <c r="B38" s="6" t="s">
        <v>307</v>
      </c>
      <c r="C38" s="6" t="s">
        <v>518</v>
      </c>
      <c r="D38" s="6" t="s">
        <v>297</v>
      </c>
      <c r="E38" s="6" t="s">
        <v>298</v>
      </c>
      <c r="F38" s="6" t="s">
        <v>514</v>
      </c>
      <c r="G38" s="6" t="s">
        <v>305</v>
      </c>
      <c r="H38" s="7" t="s">
        <v>55</v>
      </c>
      <c r="I38" s="7"/>
      <c r="J38" s="7"/>
      <c r="K38" s="7"/>
    </row>
    <row r="39" customFormat="false" ht="15" hidden="false" customHeight="false" outlineLevel="0" collapsed="false">
      <c r="A39" s="6" t="n">
        <v>38</v>
      </c>
      <c r="B39" s="6" t="s">
        <v>313</v>
      </c>
      <c r="C39" s="6" t="s">
        <v>519</v>
      </c>
      <c r="D39" s="6" t="s">
        <v>297</v>
      </c>
      <c r="E39" s="6" t="s">
        <v>520</v>
      </c>
      <c r="F39" s="6" t="s">
        <v>521</v>
      </c>
      <c r="G39" s="6" t="s">
        <v>311</v>
      </c>
      <c r="H39" s="7" t="s">
        <v>55</v>
      </c>
      <c r="I39" s="7"/>
      <c r="J39" s="7"/>
      <c r="K39" s="7"/>
    </row>
    <row r="40" customFormat="false" ht="15" hidden="false" customHeight="false" outlineLevel="0" collapsed="false">
      <c r="A40" s="6" t="n">
        <v>39</v>
      </c>
      <c r="B40" s="6" t="s">
        <v>320</v>
      </c>
      <c r="C40" s="6" t="s">
        <v>522</v>
      </c>
      <c r="D40" s="6" t="s">
        <v>297</v>
      </c>
      <c r="E40" s="6" t="s">
        <v>520</v>
      </c>
      <c r="F40" s="6" t="s">
        <v>514</v>
      </c>
      <c r="G40" s="6" t="s">
        <v>317</v>
      </c>
      <c r="H40" s="7" t="s">
        <v>55</v>
      </c>
      <c r="I40" s="7"/>
      <c r="J40" s="7"/>
      <c r="K40" s="7"/>
    </row>
    <row r="41" customFormat="false" ht="15" hidden="false" customHeight="false" outlineLevel="0" collapsed="false">
      <c r="A41" s="6" t="n">
        <v>40</v>
      </c>
      <c r="B41" s="6" t="s">
        <v>325</v>
      </c>
      <c r="C41" s="6" t="s">
        <v>523</v>
      </c>
      <c r="D41" s="6" t="s">
        <v>297</v>
      </c>
      <c r="E41" s="6" t="s">
        <v>524</v>
      </c>
      <c r="F41" s="6" t="s">
        <v>320</v>
      </c>
      <c r="G41" s="6" t="s">
        <v>323</v>
      </c>
      <c r="H41" s="7" t="s">
        <v>55</v>
      </c>
      <c r="I41" s="7"/>
      <c r="J41" s="7"/>
      <c r="K41" s="7"/>
    </row>
    <row r="42" customFormat="false" ht="15" hidden="false" customHeight="false" outlineLevel="0" collapsed="false">
      <c r="A42" s="6" t="n">
        <v>41</v>
      </c>
      <c r="B42" s="6" t="s">
        <v>331</v>
      </c>
      <c r="C42" s="6" t="s">
        <v>525</v>
      </c>
      <c r="D42" s="6" t="s">
        <v>297</v>
      </c>
      <c r="E42" s="6" t="s">
        <v>524</v>
      </c>
      <c r="F42" s="6" t="s">
        <v>280</v>
      </c>
      <c r="G42" s="6" t="s">
        <v>526</v>
      </c>
      <c r="H42" s="7" t="s">
        <v>55</v>
      </c>
      <c r="I42" s="7"/>
      <c r="J42" s="7"/>
      <c r="K42" s="7"/>
    </row>
    <row r="43" customFormat="false" ht="15" hidden="false" customHeight="false" outlineLevel="0" collapsed="false">
      <c r="A43" s="6" t="n">
        <v>42</v>
      </c>
      <c r="B43" s="6" t="s">
        <v>340</v>
      </c>
      <c r="C43" s="6" t="s">
        <v>527</v>
      </c>
      <c r="D43" s="6" t="s">
        <v>297</v>
      </c>
      <c r="E43" s="6" t="s">
        <v>528</v>
      </c>
      <c r="F43" s="6" t="s">
        <v>529</v>
      </c>
      <c r="G43" s="6" t="s">
        <v>530</v>
      </c>
      <c r="H43" s="7" t="s">
        <v>55</v>
      </c>
      <c r="I43" s="7"/>
      <c r="J43" s="7"/>
      <c r="K43" s="7"/>
    </row>
    <row r="44" customFormat="false" ht="15" hidden="false" customHeight="false" outlineLevel="0" collapsed="false">
      <c r="A44" s="6" t="n">
        <v>43</v>
      </c>
      <c r="B44" s="6" t="s">
        <v>531</v>
      </c>
      <c r="C44" s="6" t="s">
        <v>532</v>
      </c>
      <c r="D44" s="6" t="s">
        <v>297</v>
      </c>
      <c r="E44" s="6" t="s">
        <v>528</v>
      </c>
      <c r="F44" s="6" t="s">
        <v>533</v>
      </c>
      <c r="G44" s="6" t="s">
        <v>53</v>
      </c>
      <c r="H44" s="7" t="s">
        <v>55</v>
      </c>
      <c r="I44" s="7"/>
      <c r="J44" s="7"/>
      <c r="K44" s="7"/>
    </row>
    <row r="45" customFormat="false" ht="15" hidden="false" customHeight="false" outlineLevel="0" collapsed="false">
      <c r="A45" s="6" t="n">
        <v>44</v>
      </c>
      <c r="B45" s="6" t="s">
        <v>351</v>
      </c>
      <c r="C45" s="6" t="s">
        <v>534</v>
      </c>
      <c r="D45" s="6" t="s">
        <v>348</v>
      </c>
      <c r="E45" s="6" t="s">
        <v>349</v>
      </c>
      <c r="F45" s="6" t="s">
        <v>531</v>
      </c>
      <c r="G45" s="6" t="s">
        <v>346</v>
      </c>
      <c r="H45" s="7" t="s">
        <v>55</v>
      </c>
      <c r="I45" s="7"/>
      <c r="J45" s="7"/>
      <c r="K45" s="7"/>
    </row>
    <row r="46" customFormat="false" ht="15" hidden="false" customHeight="false" outlineLevel="0" collapsed="false">
      <c r="A46" s="6" t="n">
        <v>45</v>
      </c>
      <c r="B46" s="6" t="s">
        <v>358</v>
      </c>
      <c r="C46" s="6" t="s">
        <v>535</v>
      </c>
      <c r="D46" s="6" t="s">
        <v>348</v>
      </c>
      <c r="E46" s="6" t="s">
        <v>349</v>
      </c>
      <c r="F46" s="6" t="s">
        <v>351</v>
      </c>
      <c r="G46" s="6" t="s">
        <v>356</v>
      </c>
      <c r="H46" s="7" t="s">
        <v>55</v>
      </c>
      <c r="I46" s="7"/>
      <c r="J46" s="7"/>
      <c r="K46" s="7"/>
    </row>
    <row r="47" customFormat="false" ht="15" hidden="false" customHeight="false" outlineLevel="0" collapsed="false">
      <c r="A47" s="6" t="n">
        <v>46</v>
      </c>
      <c r="B47" s="6" t="s">
        <v>365</v>
      </c>
      <c r="C47" s="6" t="s">
        <v>536</v>
      </c>
      <c r="D47" s="6" t="s">
        <v>348</v>
      </c>
      <c r="E47" s="6" t="s">
        <v>537</v>
      </c>
      <c r="F47" s="6" t="s">
        <v>208</v>
      </c>
      <c r="G47" s="6" t="s">
        <v>363</v>
      </c>
      <c r="H47" s="7" t="s">
        <v>55</v>
      </c>
      <c r="I47" s="7"/>
      <c r="J47" s="7"/>
      <c r="K47" s="7"/>
    </row>
    <row r="48" customFormat="false" ht="15" hidden="false" customHeight="false" outlineLevel="0" collapsed="false">
      <c r="A48" s="6" t="n">
        <v>47</v>
      </c>
      <c r="B48" s="6" t="s">
        <v>370</v>
      </c>
      <c r="C48" s="6" t="s">
        <v>538</v>
      </c>
      <c r="D48" s="6" t="s">
        <v>348</v>
      </c>
      <c r="E48" s="6" t="s">
        <v>537</v>
      </c>
      <c r="F48" s="6" t="s">
        <v>165</v>
      </c>
      <c r="G48" s="6" t="s">
        <v>368</v>
      </c>
      <c r="H48" s="7" t="s">
        <v>55</v>
      </c>
      <c r="I48" s="7"/>
      <c r="J48" s="7"/>
      <c r="K48" s="7"/>
    </row>
    <row r="49" customFormat="false" ht="23.85" hidden="false" customHeight="false" outlineLevel="0" collapsed="false">
      <c r="A49" s="6" t="n">
        <v>48</v>
      </c>
      <c r="B49" s="6" t="s">
        <v>377</v>
      </c>
      <c r="C49" s="6" t="s">
        <v>539</v>
      </c>
      <c r="D49" s="6" t="s">
        <v>348</v>
      </c>
      <c r="E49" s="6" t="s">
        <v>540</v>
      </c>
      <c r="F49" s="6" t="s">
        <v>541</v>
      </c>
      <c r="G49" s="6" t="s">
        <v>374</v>
      </c>
      <c r="H49" s="7" t="s">
        <v>55</v>
      </c>
      <c r="I49" s="7"/>
      <c r="J49" s="7"/>
      <c r="K49" s="7"/>
    </row>
    <row r="50" customFormat="false" ht="15" hidden="false" customHeight="false" outlineLevel="0" collapsed="false">
      <c r="A50" s="6" t="n">
        <v>49</v>
      </c>
      <c r="B50" s="6" t="s">
        <v>385</v>
      </c>
      <c r="C50" s="6" t="s">
        <v>542</v>
      </c>
      <c r="D50" s="6" t="s">
        <v>348</v>
      </c>
      <c r="E50" s="6" t="s">
        <v>540</v>
      </c>
      <c r="F50" s="6" t="s">
        <v>531</v>
      </c>
      <c r="G50" s="6" t="s">
        <v>543</v>
      </c>
      <c r="H50" s="7" t="s">
        <v>55</v>
      </c>
      <c r="I50" s="7"/>
      <c r="J50" s="7"/>
      <c r="K50" s="7"/>
    </row>
    <row r="51" customFormat="false" ht="15" hidden="false" customHeight="false" outlineLevel="0" collapsed="false">
      <c r="A51" s="6" t="n">
        <v>50</v>
      </c>
      <c r="B51" s="6" t="s">
        <v>394</v>
      </c>
      <c r="C51" s="6" t="s">
        <v>544</v>
      </c>
      <c r="D51" s="6" t="s">
        <v>348</v>
      </c>
      <c r="E51" s="6" t="s">
        <v>545</v>
      </c>
      <c r="F51" s="6" t="s">
        <v>307</v>
      </c>
      <c r="G51" s="6" t="s">
        <v>546</v>
      </c>
      <c r="H51" s="7" t="s">
        <v>55</v>
      </c>
      <c r="I51" s="7"/>
      <c r="J51" s="7"/>
      <c r="K51" s="7"/>
    </row>
    <row r="52" customFormat="false" ht="15" hidden="false" customHeight="false" outlineLevel="0" collapsed="false">
      <c r="A52" s="6" t="n">
        <v>51</v>
      </c>
      <c r="B52" s="6" t="s">
        <v>547</v>
      </c>
      <c r="C52" s="6" t="s">
        <v>548</v>
      </c>
      <c r="D52" s="6" t="s">
        <v>348</v>
      </c>
      <c r="E52" s="6" t="s">
        <v>545</v>
      </c>
      <c r="F52" s="6" t="s">
        <v>549</v>
      </c>
      <c r="G52" s="6" t="s">
        <v>53</v>
      </c>
      <c r="H52" s="7" t="s">
        <v>55</v>
      </c>
      <c r="I52" s="7"/>
      <c r="J52" s="7"/>
      <c r="K52" s="7"/>
    </row>
    <row r="53" customFormat="false" ht="15" hidden="false" customHeight="false" outlineLevel="0" collapsed="false">
      <c r="A53" s="6" t="n">
        <v>52</v>
      </c>
      <c r="B53" s="6" t="s">
        <v>408</v>
      </c>
      <c r="C53" s="6" t="s">
        <v>550</v>
      </c>
      <c r="D53" s="6" t="s">
        <v>405</v>
      </c>
      <c r="E53" s="6" t="s">
        <v>406</v>
      </c>
      <c r="F53" s="6" t="s">
        <v>410</v>
      </c>
      <c r="G53" s="6" t="s">
        <v>402</v>
      </c>
      <c r="H53" s="7" t="s">
        <v>55</v>
      </c>
      <c r="I53" s="7"/>
      <c r="J53" s="7"/>
      <c r="K53" s="7"/>
    </row>
    <row r="54" customFormat="false" ht="15" hidden="false" customHeight="false" outlineLevel="0" collapsed="false">
      <c r="A54" s="6" t="n">
        <v>53</v>
      </c>
      <c r="B54" s="6" t="s">
        <v>415</v>
      </c>
      <c r="C54" s="6" t="s">
        <v>551</v>
      </c>
      <c r="D54" s="6" t="s">
        <v>405</v>
      </c>
      <c r="E54" s="6" t="s">
        <v>406</v>
      </c>
      <c r="F54" s="6" t="s">
        <v>408</v>
      </c>
      <c r="G54" s="6" t="s">
        <v>412</v>
      </c>
      <c r="H54" s="7" t="s">
        <v>55</v>
      </c>
      <c r="I54" s="7"/>
      <c r="J54" s="7"/>
      <c r="K54" s="7"/>
    </row>
    <row r="55" customFormat="false" ht="15" hidden="false" customHeight="false" outlineLevel="0" collapsed="false">
      <c r="A55" s="6" t="n">
        <v>54</v>
      </c>
      <c r="B55" s="6" t="s">
        <v>422</v>
      </c>
      <c r="C55" s="6" t="s">
        <v>552</v>
      </c>
      <c r="D55" s="6" t="s">
        <v>405</v>
      </c>
      <c r="E55" s="6" t="s">
        <v>553</v>
      </c>
      <c r="F55" s="6" t="s">
        <v>408</v>
      </c>
      <c r="G55" s="6" t="s">
        <v>419</v>
      </c>
      <c r="H55" s="7" t="s">
        <v>55</v>
      </c>
      <c r="I55" s="7"/>
      <c r="J55" s="7"/>
      <c r="K55" s="7"/>
    </row>
    <row r="56" customFormat="false" ht="15" hidden="false" customHeight="false" outlineLevel="0" collapsed="false">
      <c r="A56" s="6" t="n">
        <v>55</v>
      </c>
      <c r="B56" s="6" t="s">
        <v>428</v>
      </c>
      <c r="C56" s="6" t="s">
        <v>554</v>
      </c>
      <c r="D56" s="6" t="s">
        <v>405</v>
      </c>
      <c r="E56" s="6" t="s">
        <v>553</v>
      </c>
      <c r="F56" s="6" t="s">
        <v>408</v>
      </c>
      <c r="G56" s="6" t="s">
        <v>425</v>
      </c>
      <c r="H56" s="7" t="s">
        <v>55</v>
      </c>
      <c r="I56" s="7"/>
      <c r="J56" s="7"/>
      <c r="K56" s="7"/>
    </row>
    <row r="57" customFormat="false" ht="15" hidden="false" customHeight="false" outlineLevel="0" collapsed="false">
      <c r="A57" s="6" t="n">
        <v>56</v>
      </c>
      <c r="B57" s="6" t="s">
        <v>435</v>
      </c>
      <c r="C57" s="6" t="s">
        <v>555</v>
      </c>
      <c r="D57" s="6" t="s">
        <v>405</v>
      </c>
      <c r="E57" s="6" t="s">
        <v>556</v>
      </c>
      <c r="F57" s="6" t="s">
        <v>408</v>
      </c>
      <c r="G57" s="6" t="s">
        <v>432</v>
      </c>
      <c r="H57" s="7" t="s">
        <v>55</v>
      </c>
      <c r="I57" s="7"/>
      <c r="J57" s="7"/>
      <c r="K57" s="7"/>
    </row>
    <row r="58" customFormat="false" ht="15" hidden="false" customHeight="false" outlineLevel="0" collapsed="false">
      <c r="A58" s="6" t="n">
        <v>57</v>
      </c>
      <c r="B58" s="6" t="s">
        <v>441</v>
      </c>
      <c r="C58" s="6" t="s">
        <v>557</v>
      </c>
      <c r="D58" s="6" t="s">
        <v>405</v>
      </c>
      <c r="E58" s="6" t="s">
        <v>558</v>
      </c>
      <c r="F58" s="6" t="s">
        <v>446</v>
      </c>
      <c r="G58" s="6" t="s">
        <v>559</v>
      </c>
      <c r="H58" s="7" t="s">
        <v>55</v>
      </c>
      <c r="I58" s="7"/>
      <c r="J58" s="7"/>
      <c r="K58" s="7"/>
    </row>
    <row r="59" customFormat="false" ht="15" hidden="false" customHeight="false" outlineLevel="0" collapsed="false">
      <c r="A59" s="6" t="n">
        <v>58</v>
      </c>
      <c r="B59" s="6" t="s">
        <v>560</v>
      </c>
      <c r="C59" s="6" t="s">
        <v>561</v>
      </c>
      <c r="D59" s="6" t="s">
        <v>405</v>
      </c>
      <c r="E59" s="6" t="s">
        <v>558</v>
      </c>
      <c r="F59" s="6" t="s">
        <v>562</v>
      </c>
      <c r="G59" s="6" t="s">
        <v>53</v>
      </c>
      <c r="H59" s="7" t="s">
        <v>55</v>
      </c>
      <c r="I59" s="7"/>
      <c r="J59" s="7"/>
      <c r="K59" s="7"/>
    </row>
  </sheetData>
  <autoFilter ref="A1:K59"/>
  <dataValidations count="1">
    <dataValidation allowBlank="true" errorStyle="stop" operator="between" showDropDown="false" showErrorMessage="false" showInputMessage="false" sqref="H2:H59" type="list">
      <formula1>"Planned,Running,Done,Blocked,Skipped(trigger)"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9"/>
    <col collapsed="false" customWidth="true" hidden="false" outlineLevel="0" max="3" min="3" style="0" width="12"/>
    <col collapsed="false" customWidth="true" hidden="false" outlineLevel="0" max="4" min="4" style="0" width="42"/>
    <col collapsed="false" customWidth="true" hidden="false" outlineLevel="0" max="5" min="5" style="0" width="22"/>
    <col collapsed="false" customWidth="true" hidden="false" outlineLevel="0" max="6" min="6" style="0" width="10"/>
    <col collapsed="false" customWidth="true" hidden="false" outlineLevel="0" max="7" min="7" style="0" width="9"/>
    <col collapsed="false" customWidth="true" hidden="false" outlineLevel="0" max="8" min="8" style="0" width="52"/>
    <col collapsed="false" customWidth="true" hidden="false" outlineLevel="0" max="9" min="9" style="0" width="11"/>
    <col collapsed="false" customWidth="true" hidden="false" outlineLevel="0" max="10" min="10" style="0" width="12"/>
  </cols>
  <sheetData>
    <row r="1" customFormat="false" ht="23.85" hidden="false" customHeight="false" outlineLevel="0" collapsed="false">
      <c r="A1" s="5" t="s">
        <v>23</v>
      </c>
      <c r="B1" s="5" t="s">
        <v>24</v>
      </c>
      <c r="C1" s="5" t="s">
        <v>563</v>
      </c>
      <c r="D1" s="5" t="s">
        <v>564</v>
      </c>
      <c r="E1" s="5" t="s">
        <v>565</v>
      </c>
      <c r="F1" s="5" t="s">
        <v>566</v>
      </c>
      <c r="G1" s="5" t="s">
        <v>567</v>
      </c>
      <c r="H1" s="5" t="s">
        <v>568</v>
      </c>
      <c r="I1" s="5" t="s">
        <v>35</v>
      </c>
      <c r="J1" s="5" t="s">
        <v>569</v>
      </c>
    </row>
    <row r="2" customFormat="false" ht="23.85" hidden="false" customHeight="false" outlineLevel="0" collapsed="false">
      <c r="A2" s="6" t="s">
        <v>46</v>
      </c>
      <c r="B2" s="6" t="s">
        <v>47</v>
      </c>
      <c r="C2" s="6" t="s">
        <v>570</v>
      </c>
      <c r="D2" s="6" t="s">
        <v>571</v>
      </c>
      <c r="E2" s="6" t="s">
        <v>572</v>
      </c>
      <c r="F2" s="6" t="n">
        <f aca="false">COUNTIFS('Feature Master'!$D$2:$D$67,A2)</f>
        <v>12</v>
      </c>
      <c r="G2" s="6" t="n">
        <f aca="false">SUMIFS('Feature Master'!$M$2:$M$67,'Feature Master'!$D$2:$D$67,A2)</f>
        <v>47</v>
      </c>
      <c r="H2" s="6" t="s">
        <v>573</v>
      </c>
      <c r="I2" s="7" t="s">
        <v>55</v>
      </c>
      <c r="J2" s="7"/>
    </row>
    <row r="3" customFormat="false" ht="23.85" hidden="false" customHeight="false" outlineLevel="0" collapsed="false">
      <c r="A3" s="6" t="s">
        <v>128</v>
      </c>
      <c r="B3" s="6" t="s">
        <v>129</v>
      </c>
      <c r="C3" s="6" t="s">
        <v>574</v>
      </c>
      <c r="D3" s="6" t="s">
        <v>575</v>
      </c>
      <c r="E3" s="6" t="s">
        <v>576</v>
      </c>
      <c r="F3" s="6" t="n">
        <f aca="false">COUNTIFS('Feature Master'!$D$2:$D$67,A3)</f>
        <v>17</v>
      </c>
      <c r="G3" s="6" t="n">
        <f aca="false">SUMIFS('Feature Master'!$M$2:$M$67,'Feature Master'!$D$2:$D$67,A3)</f>
        <v>87</v>
      </c>
      <c r="H3" s="6" t="s">
        <v>577</v>
      </c>
      <c r="I3" s="7" t="s">
        <v>55</v>
      </c>
      <c r="J3" s="7"/>
    </row>
    <row r="4" customFormat="false" ht="23.85" hidden="false" customHeight="false" outlineLevel="0" collapsed="false">
      <c r="A4" s="6" t="s">
        <v>228</v>
      </c>
      <c r="B4" s="6" t="s">
        <v>229</v>
      </c>
      <c r="C4" s="6" t="s">
        <v>578</v>
      </c>
      <c r="D4" s="6" t="s">
        <v>579</v>
      </c>
      <c r="E4" s="6" t="s">
        <v>580</v>
      </c>
      <c r="F4" s="6" t="n">
        <f aca="false">COUNTIFS('Feature Master'!$D$2:$D$67,A4)</f>
        <v>11</v>
      </c>
      <c r="G4" s="6" t="n">
        <f aca="false">SUMIFS('Feature Master'!$M$2:$M$67,'Feature Master'!$D$2:$D$67,A4)</f>
        <v>66</v>
      </c>
      <c r="H4" s="6" t="s">
        <v>581</v>
      </c>
      <c r="I4" s="7" t="s">
        <v>55</v>
      </c>
      <c r="J4" s="7"/>
    </row>
    <row r="5" customFormat="false" ht="15" hidden="false" customHeight="false" outlineLevel="0" collapsed="false">
      <c r="A5" s="6" t="s">
        <v>297</v>
      </c>
      <c r="B5" s="6" t="s">
        <v>298</v>
      </c>
      <c r="C5" s="6" t="s">
        <v>582</v>
      </c>
      <c r="D5" s="6" t="s">
        <v>583</v>
      </c>
      <c r="E5" s="6" t="s">
        <v>584</v>
      </c>
      <c r="F5" s="6" t="n">
        <f aca="false">COUNTIFS('Feature Master'!$D$2:$D$67,A5)</f>
        <v>9</v>
      </c>
      <c r="G5" s="6" t="n">
        <f aca="false">SUMIFS('Feature Master'!$M$2:$M$67,'Feature Master'!$D$2:$D$67,A5)</f>
        <v>62</v>
      </c>
      <c r="H5" s="6" t="s">
        <v>585</v>
      </c>
      <c r="I5" s="7" t="s">
        <v>55</v>
      </c>
      <c r="J5" s="7"/>
    </row>
    <row r="6" customFormat="false" ht="15" hidden="false" customHeight="false" outlineLevel="0" collapsed="false">
      <c r="A6" s="6" t="s">
        <v>348</v>
      </c>
      <c r="B6" s="6" t="s">
        <v>349</v>
      </c>
      <c r="C6" s="6" t="s">
        <v>586</v>
      </c>
      <c r="D6" s="6" t="s">
        <v>587</v>
      </c>
      <c r="E6" s="6" t="s">
        <v>588</v>
      </c>
      <c r="F6" s="6" t="n">
        <f aca="false">COUNTIFS('Feature Master'!$D$2:$D$67,A6)</f>
        <v>9</v>
      </c>
      <c r="G6" s="6" t="n">
        <f aca="false">SUMIFS('Feature Master'!$M$2:$M$67,'Feature Master'!$D$2:$D$67,A6)</f>
        <v>67</v>
      </c>
      <c r="H6" s="6" t="s">
        <v>589</v>
      </c>
      <c r="I6" s="7" t="s">
        <v>55</v>
      </c>
      <c r="J6" s="7"/>
    </row>
    <row r="7" customFormat="false" ht="15" hidden="false" customHeight="false" outlineLevel="0" collapsed="false">
      <c r="A7" s="6" t="s">
        <v>405</v>
      </c>
      <c r="B7" s="6" t="s">
        <v>406</v>
      </c>
      <c r="C7" s="6" t="s">
        <v>407</v>
      </c>
      <c r="D7" s="6" t="s">
        <v>590</v>
      </c>
      <c r="E7" s="6" t="s">
        <v>591</v>
      </c>
      <c r="F7" s="6" t="n">
        <f aca="false">COUNTIFS('Feature Master'!$D$2:$D$67,A7)</f>
        <v>8</v>
      </c>
      <c r="G7" s="6" t="n">
        <f aca="false">SUMIFS('Feature Master'!$M$2:$M$67,'Feature Master'!$D$2:$D$67,A7)</f>
        <v>101</v>
      </c>
      <c r="H7" s="6" t="s">
        <v>592</v>
      </c>
      <c r="I7" s="7" t="s">
        <v>55</v>
      </c>
      <c r="J7" s="7"/>
    </row>
    <row r="8" customFormat="false" ht="15" hidden="false" customHeight="false" outlineLevel="0" collapsed="false">
      <c r="E8" s="8" t="s">
        <v>593</v>
      </c>
      <c r="F8" s="8" t="n">
        <f aca="false">SUM(F2:F7)</f>
        <v>66</v>
      </c>
      <c r="G8" s="8" t="n">
        <f aca="false">SUM(G2:G7)</f>
        <v>430</v>
      </c>
    </row>
  </sheetData>
  <dataValidations count="1">
    <dataValidation allowBlank="true" errorStyle="stop" operator="between" showDropDown="false" showErrorMessage="false" showInputMessage="false" sqref="I2:I7" type="list">
      <formula1>"Planned,In Progress,Shipped,Slipped"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0"/>
    <col collapsed="false" customWidth="true" hidden="false" outlineLevel="0" max="3" min="3" style="0" width="11"/>
    <col collapsed="false" customWidth="true" hidden="false" outlineLevel="0" max="4" min="4" style="0" width="13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20"/>
    <col collapsed="false" customWidth="true" hidden="false" outlineLevel="0" max="8" min="8" style="0" width="16"/>
    <col collapsed="false" customWidth="true" hidden="false" outlineLevel="0" max="9" min="9" style="0" width="15"/>
    <col collapsed="false" customWidth="true" hidden="false" outlineLevel="0" max="10" min="10" style="0" width="11"/>
    <col collapsed="false" customWidth="true" hidden="false" outlineLevel="0" max="11" min="11" style="0" width="10"/>
    <col collapsed="false" customWidth="true" hidden="false" outlineLevel="0" max="12" min="12" style="0" width="26"/>
  </cols>
  <sheetData>
    <row r="1" customFormat="false" ht="23.85" hidden="false" customHeight="false" outlineLevel="0" collapsed="false">
      <c r="A1" s="5" t="s">
        <v>26</v>
      </c>
      <c r="B1" s="5" t="s">
        <v>594</v>
      </c>
      <c r="C1" s="5" t="s">
        <v>595</v>
      </c>
      <c r="D1" s="5" t="s">
        <v>596</v>
      </c>
      <c r="E1" s="5" t="s">
        <v>597</v>
      </c>
      <c r="F1" s="5" t="s">
        <v>598</v>
      </c>
      <c r="G1" s="5" t="s">
        <v>599</v>
      </c>
      <c r="H1" s="5" t="s">
        <v>600</v>
      </c>
      <c r="I1" s="5" t="s">
        <v>601</v>
      </c>
      <c r="J1" s="5" t="s">
        <v>602</v>
      </c>
      <c r="K1" s="5" t="s">
        <v>35</v>
      </c>
      <c r="L1" s="5" t="s">
        <v>42</v>
      </c>
    </row>
    <row r="2" customFormat="false" ht="23.85" hidden="false" customHeight="false" outlineLevel="0" collapsed="false">
      <c r="A2" s="6" t="s">
        <v>49</v>
      </c>
      <c r="B2" s="6" t="s">
        <v>460</v>
      </c>
      <c r="C2" s="6" t="s">
        <v>603</v>
      </c>
      <c r="D2" s="6" t="s">
        <v>603</v>
      </c>
      <c r="E2" s="6" t="s">
        <v>603</v>
      </c>
      <c r="F2" s="6" t="s">
        <v>603</v>
      </c>
      <c r="G2" s="6" t="s">
        <v>604</v>
      </c>
      <c r="H2" s="6" t="s">
        <v>605</v>
      </c>
      <c r="I2" s="6" t="s">
        <v>606</v>
      </c>
      <c r="J2" s="6" t="s">
        <v>603</v>
      </c>
      <c r="K2" s="7" t="s">
        <v>55</v>
      </c>
      <c r="L2" s="7"/>
    </row>
    <row r="3" customFormat="false" ht="23.85" hidden="false" customHeight="false" outlineLevel="0" collapsed="false">
      <c r="A3" s="6" t="s">
        <v>59</v>
      </c>
      <c r="B3" s="6" t="s">
        <v>56</v>
      </c>
      <c r="C3" s="6" t="s">
        <v>603</v>
      </c>
      <c r="D3" s="6" t="s">
        <v>603</v>
      </c>
      <c r="E3" s="6" t="s">
        <v>603</v>
      </c>
      <c r="F3" s="6" t="s">
        <v>603</v>
      </c>
      <c r="G3" s="6" t="s">
        <v>607</v>
      </c>
      <c r="H3" s="6" t="s">
        <v>605</v>
      </c>
      <c r="I3" s="6" t="s">
        <v>607</v>
      </c>
      <c r="J3" s="6" t="s">
        <v>603</v>
      </c>
      <c r="K3" s="7" t="s">
        <v>55</v>
      </c>
      <c r="L3" s="7"/>
    </row>
    <row r="4" customFormat="false" ht="23.85" hidden="false" customHeight="false" outlineLevel="0" collapsed="false">
      <c r="A4" s="6" t="s">
        <v>68</v>
      </c>
      <c r="B4" s="6" t="s">
        <v>65</v>
      </c>
      <c r="C4" s="6" t="s">
        <v>603</v>
      </c>
      <c r="D4" s="6" t="s">
        <v>603</v>
      </c>
      <c r="E4" s="6" t="s">
        <v>603</v>
      </c>
      <c r="F4" s="6" t="s">
        <v>603</v>
      </c>
      <c r="G4" s="6" t="s">
        <v>604</v>
      </c>
      <c r="H4" s="6" t="s">
        <v>605</v>
      </c>
      <c r="I4" s="6" t="s">
        <v>607</v>
      </c>
      <c r="J4" s="6" t="s">
        <v>603</v>
      </c>
      <c r="K4" s="7" t="s">
        <v>55</v>
      </c>
      <c r="L4" s="7"/>
    </row>
    <row r="5" customFormat="false" ht="23.85" hidden="false" customHeight="false" outlineLevel="0" collapsed="false">
      <c r="A5" s="6" t="s">
        <v>75</v>
      </c>
      <c r="B5" s="6" t="s">
        <v>73</v>
      </c>
      <c r="C5" s="6" t="s">
        <v>603</v>
      </c>
      <c r="D5" s="6" t="s">
        <v>603</v>
      </c>
      <c r="E5" s="6" t="s">
        <v>603</v>
      </c>
      <c r="F5" s="6" t="s">
        <v>603</v>
      </c>
      <c r="G5" s="6" t="s">
        <v>607</v>
      </c>
      <c r="H5" s="6" t="s">
        <v>605</v>
      </c>
      <c r="I5" s="6" t="s">
        <v>607</v>
      </c>
      <c r="J5" s="6" t="s">
        <v>603</v>
      </c>
      <c r="K5" s="7" t="s">
        <v>55</v>
      </c>
      <c r="L5" s="7"/>
    </row>
    <row r="6" customFormat="false" ht="23.85" hidden="false" customHeight="false" outlineLevel="0" collapsed="false">
      <c r="A6" s="6" t="s">
        <v>83</v>
      </c>
      <c r="B6" s="6" t="s">
        <v>81</v>
      </c>
      <c r="C6" s="6" t="s">
        <v>603</v>
      </c>
      <c r="D6" s="6" t="s">
        <v>603</v>
      </c>
      <c r="E6" s="6" t="s">
        <v>603</v>
      </c>
      <c r="F6" s="6" t="s">
        <v>603</v>
      </c>
      <c r="G6" s="6" t="s">
        <v>604</v>
      </c>
      <c r="H6" s="6" t="s">
        <v>605</v>
      </c>
      <c r="I6" s="6" t="s">
        <v>606</v>
      </c>
      <c r="J6" s="6" t="s">
        <v>603</v>
      </c>
      <c r="K6" s="7" t="s">
        <v>55</v>
      </c>
      <c r="L6" s="7"/>
    </row>
    <row r="7" customFormat="false" ht="23.85" hidden="false" customHeight="false" outlineLevel="0" collapsed="false">
      <c r="A7" s="6" t="s">
        <v>89</v>
      </c>
      <c r="B7" s="6" t="s">
        <v>87</v>
      </c>
      <c r="C7" s="6" t="s">
        <v>603</v>
      </c>
      <c r="D7" s="6" t="s">
        <v>603</v>
      </c>
      <c r="E7" s="6" t="s">
        <v>603</v>
      </c>
      <c r="F7" s="6" t="s">
        <v>603</v>
      </c>
      <c r="G7" s="6" t="s">
        <v>604</v>
      </c>
      <c r="H7" s="6" t="s">
        <v>605</v>
      </c>
      <c r="I7" s="6" t="s">
        <v>606</v>
      </c>
      <c r="J7" s="6" t="s">
        <v>603</v>
      </c>
      <c r="K7" s="7" t="s">
        <v>55</v>
      </c>
      <c r="L7" s="7"/>
    </row>
    <row r="8" customFormat="false" ht="23.85" hidden="false" customHeight="false" outlineLevel="0" collapsed="false">
      <c r="A8" s="6" t="s">
        <v>96</v>
      </c>
      <c r="B8" s="6" t="s">
        <v>93</v>
      </c>
      <c r="C8" s="6" t="s">
        <v>603</v>
      </c>
      <c r="D8" s="6" t="s">
        <v>603</v>
      </c>
      <c r="E8" s="6" t="s">
        <v>603</v>
      </c>
      <c r="F8" s="6" t="s">
        <v>603</v>
      </c>
      <c r="G8" s="6" t="s">
        <v>604</v>
      </c>
      <c r="H8" s="6" t="s">
        <v>605</v>
      </c>
      <c r="I8" s="6" t="s">
        <v>606</v>
      </c>
      <c r="J8" s="6" t="s">
        <v>603</v>
      </c>
      <c r="K8" s="7" t="s">
        <v>55</v>
      </c>
      <c r="L8" s="7"/>
    </row>
    <row r="9" customFormat="false" ht="23.85" hidden="false" customHeight="false" outlineLevel="0" collapsed="false">
      <c r="A9" s="6" t="s">
        <v>101</v>
      </c>
      <c r="B9" s="6" t="s">
        <v>99</v>
      </c>
      <c r="C9" s="6" t="s">
        <v>603</v>
      </c>
      <c r="D9" s="6" t="s">
        <v>603</v>
      </c>
      <c r="E9" s="6" t="s">
        <v>603</v>
      </c>
      <c r="F9" s="6" t="s">
        <v>603</v>
      </c>
      <c r="G9" s="6" t="s">
        <v>604</v>
      </c>
      <c r="H9" s="6" t="s">
        <v>605</v>
      </c>
      <c r="I9" s="6" t="s">
        <v>606</v>
      </c>
      <c r="J9" s="6" t="s">
        <v>603</v>
      </c>
      <c r="K9" s="7" t="s">
        <v>55</v>
      </c>
      <c r="L9" s="7"/>
    </row>
    <row r="10" customFormat="false" ht="15" hidden="false" customHeight="false" outlineLevel="0" collapsed="false">
      <c r="A10" s="6" t="s">
        <v>116</v>
      </c>
      <c r="B10" s="6" t="s">
        <v>114</v>
      </c>
      <c r="C10" s="6" t="s">
        <v>603</v>
      </c>
      <c r="D10" s="6" t="s">
        <v>603</v>
      </c>
      <c r="E10" s="6" t="s">
        <v>603</v>
      </c>
      <c r="F10" s="6" t="s">
        <v>603</v>
      </c>
      <c r="G10" s="6" t="s">
        <v>604</v>
      </c>
      <c r="H10" s="6" t="s">
        <v>607</v>
      </c>
      <c r="I10" s="6" t="s">
        <v>607</v>
      </c>
      <c r="J10" s="6" t="s">
        <v>603</v>
      </c>
      <c r="K10" s="7" t="s">
        <v>55</v>
      </c>
      <c r="L10" s="7"/>
    </row>
    <row r="11" customFormat="false" ht="23.85" hidden="false" customHeight="false" outlineLevel="0" collapsed="false">
      <c r="A11" s="6" t="s">
        <v>107</v>
      </c>
      <c r="B11" s="6" t="s">
        <v>104</v>
      </c>
      <c r="C11" s="6" t="s">
        <v>603</v>
      </c>
      <c r="D11" s="6" t="s">
        <v>603</v>
      </c>
      <c r="E11" s="6" t="s">
        <v>603</v>
      </c>
      <c r="F11" s="6" t="s">
        <v>603</v>
      </c>
      <c r="G11" s="6" t="s">
        <v>607</v>
      </c>
      <c r="H11" s="6" t="s">
        <v>605</v>
      </c>
      <c r="I11" s="6" t="s">
        <v>606</v>
      </c>
      <c r="J11" s="6" t="s">
        <v>603</v>
      </c>
      <c r="K11" s="7" t="s">
        <v>55</v>
      </c>
      <c r="L11" s="7"/>
    </row>
    <row r="12" customFormat="false" ht="23.85" hidden="false" customHeight="false" outlineLevel="0" collapsed="false">
      <c r="A12" s="6" t="s">
        <v>121</v>
      </c>
      <c r="B12" s="6" t="s">
        <v>119</v>
      </c>
      <c r="C12" s="6" t="s">
        <v>603</v>
      </c>
      <c r="D12" s="6" t="s">
        <v>603</v>
      </c>
      <c r="E12" s="6" t="s">
        <v>603</v>
      </c>
      <c r="F12" s="6" t="s">
        <v>603</v>
      </c>
      <c r="G12" s="6" t="s">
        <v>604</v>
      </c>
      <c r="H12" s="6" t="s">
        <v>605</v>
      </c>
      <c r="I12" s="6" t="s">
        <v>606</v>
      </c>
      <c r="J12" s="6" t="s">
        <v>603</v>
      </c>
      <c r="K12" s="7" t="s">
        <v>55</v>
      </c>
      <c r="L12" s="7"/>
    </row>
    <row r="13" customFormat="false" ht="23.85" hidden="false" customHeight="false" outlineLevel="0" collapsed="false">
      <c r="A13" s="6" t="s">
        <v>471</v>
      </c>
      <c r="B13" s="6" t="s">
        <v>23</v>
      </c>
      <c r="C13" s="6" t="s">
        <v>608</v>
      </c>
      <c r="D13" s="6" t="s">
        <v>608</v>
      </c>
      <c r="E13" s="6" t="s">
        <v>608</v>
      </c>
      <c r="F13" s="6" t="s">
        <v>609</v>
      </c>
      <c r="G13" s="6" t="s">
        <v>610</v>
      </c>
      <c r="H13" s="6" t="s">
        <v>608</v>
      </c>
      <c r="I13" s="6" t="s">
        <v>608</v>
      </c>
      <c r="J13" s="6" t="s">
        <v>611</v>
      </c>
      <c r="K13" s="7" t="s">
        <v>55</v>
      </c>
      <c r="L13" s="7"/>
    </row>
    <row r="14" customFormat="false" ht="23.85" hidden="false" customHeight="false" outlineLevel="0" collapsed="false">
      <c r="A14" s="6" t="s">
        <v>131</v>
      </c>
      <c r="B14" s="6" t="s">
        <v>125</v>
      </c>
      <c r="C14" s="6" t="s">
        <v>603</v>
      </c>
      <c r="D14" s="6" t="s">
        <v>603</v>
      </c>
      <c r="E14" s="6" t="s">
        <v>603</v>
      </c>
      <c r="F14" s="6" t="s">
        <v>603</v>
      </c>
      <c r="G14" s="6" t="s">
        <v>604</v>
      </c>
      <c r="H14" s="6" t="s">
        <v>607</v>
      </c>
      <c r="I14" s="6" t="s">
        <v>606</v>
      </c>
      <c r="J14" s="6" t="s">
        <v>603</v>
      </c>
      <c r="K14" s="7" t="s">
        <v>55</v>
      </c>
      <c r="L14" s="7"/>
    </row>
    <row r="15" customFormat="false" ht="23.85" hidden="false" customHeight="false" outlineLevel="0" collapsed="false">
      <c r="A15" s="6" t="s">
        <v>137</v>
      </c>
      <c r="B15" s="6" t="s">
        <v>135</v>
      </c>
      <c r="C15" s="6" t="s">
        <v>603</v>
      </c>
      <c r="D15" s="6" t="s">
        <v>603</v>
      </c>
      <c r="E15" s="6" t="s">
        <v>603</v>
      </c>
      <c r="F15" s="6" t="s">
        <v>603</v>
      </c>
      <c r="G15" s="6" t="s">
        <v>604</v>
      </c>
      <c r="H15" s="6" t="s">
        <v>605</v>
      </c>
      <c r="I15" s="6" t="s">
        <v>606</v>
      </c>
      <c r="J15" s="6" t="s">
        <v>603</v>
      </c>
      <c r="K15" s="7" t="s">
        <v>55</v>
      </c>
      <c r="L15" s="7"/>
    </row>
    <row r="16" customFormat="false" ht="23.85" hidden="false" customHeight="false" outlineLevel="0" collapsed="false">
      <c r="A16" s="6" t="s">
        <v>143</v>
      </c>
      <c r="B16" s="6" t="s">
        <v>141</v>
      </c>
      <c r="C16" s="6" t="s">
        <v>603</v>
      </c>
      <c r="D16" s="6" t="s">
        <v>603</v>
      </c>
      <c r="E16" s="6" t="s">
        <v>603</v>
      </c>
      <c r="F16" s="6" t="s">
        <v>603</v>
      </c>
      <c r="G16" s="6" t="s">
        <v>604</v>
      </c>
      <c r="H16" s="6" t="s">
        <v>605</v>
      </c>
      <c r="I16" s="6" t="s">
        <v>606</v>
      </c>
      <c r="J16" s="6" t="s">
        <v>603</v>
      </c>
      <c r="K16" s="7" t="s">
        <v>55</v>
      </c>
      <c r="L16" s="7"/>
    </row>
    <row r="17" customFormat="false" ht="23.85" hidden="false" customHeight="false" outlineLevel="0" collapsed="false">
      <c r="A17" s="6" t="s">
        <v>148</v>
      </c>
      <c r="B17" s="6" t="s">
        <v>146</v>
      </c>
      <c r="C17" s="6" t="s">
        <v>603</v>
      </c>
      <c r="D17" s="6" t="s">
        <v>603</v>
      </c>
      <c r="E17" s="6" t="s">
        <v>603</v>
      </c>
      <c r="F17" s="6" t="s">
        <v>603</v>
      </c>
      <c r="G17" s="6" t="s">
        <v>604</v>
      </c>
      <c r="H17" s="6" t="s">
        <v>605</v>
      </c>
      <c r="I17" s="6" t="s">
        <v>606</v>
      </c>
      <c r="J17" s="6" t="s">
        <v>603</v>
      </c>
      <c r="K17" s="7" t="s">
        <v>55</v>
      </c>
      <c r="L17" s="7"/>
    </row>
    <row r="18" customFormat="false" ht="23.85" hidden="false" customHeight="false" outlineLevel="0" collapsed="false">
      <c r="A18" s="6" t="s">
        <v>152</v>
      </c>
      <c r="B18" s="6" t="s">
        <v>150</v>
      </c>
      <c r="C18" s="6" t="s">
        <v>603</v>
      </c>
      <c r="D18" s="6" t="s">
        <v>603</v>
      </c>
      <c r="E18" s="6" t="s">
        <v>603</v>
      </c>
      <c r="F18" s="6" t="s">
        <v>603</v>
      </c>
      <c r="G18" s="6" t="s">
        <v>607</v>
      </c>
      <c r="H18" s="6" t="s">
        <v>607</v>
      </c>
      <c r="I18" s="6" t="s">
        <v>606</v>
      </c>
      <c r="J18" s="6" t="s">
        <v>603</v>
      </c>
      <c r="K18" s="7" t="s">
        <v>55</v>
      </c>
      <c r="L18" s="7"/>
    </row>
    <row r="19" customFormat="false" ht="23.85" hidden="false" customHeight="false" outlineLevel="0" collapsed="false">
      <c r="A19" s="6" t="s">
        <v>158</v>
      </c>
      <c r="B19" s="6" t="s">
        <v>155</v>
      </c>
      <c r="C19" s="6" t="s">
        <v>603</v>
      </c>
      <c r="D19" s="6" t="s">
        <v>603</v>
      </c>
      <c r="E19" s="6" t="s">
        <v>603</v>
      </c>
      <c r="F19" s="6" t="s">
        <v>603</v>
      </c>
      <c r="G19" s="6" t="s">
        <v>607</v>
      </c>
      <c r="H19" s="6" t="s">
        <v>607</v>
      </c>
      <c r="I19" s="6" t="s">
        <v>606</v>
      </c>
      <c r="J19" s="6" t="s">
        <v>603</v>
      </c>
      <c r="K19" s="7" t="s">
        <v>55</v>
      </c>
      <c r="L19" s="7"/>
    </row>
    <row r="20" customFormat="false" ht="23.85" hidden="false" customHeight="false" outlineLevel="0" collapsed="false">
      <c r="A20" s="6" t="s">
        <v>165</v>
      </c>
      <c r="B20" s="6" t="s">
        <v>484</v>
      </c>
      <c r="C20" s="6" t="s">
        <v>603</v>
      </c>
      <c r="D20" s="6" t="s">
        <v>603</v>
      </c>
      <c r="E20" s="6" t="s">
        <v>603</v>
      </c>
      <c r="F20" s="6" t="s">
        <v>603</v>
      </c>
      <c r="G20" s="6" t="s">
        <v>607</v>
      </c>
      <c r="H20" s="6" t="s">
        <v>607</v>
      </c>
      <c r="I20" s="6" t="s">
        <v>606</v>
      </c>
      <c r="J20" s="6" t="s">
        <v>603</v>
      </c>
      <c r="K20" s="7" t="s">
        <v>55</v>
      </c>
      <c r="L20" s="7"/>
    </row>
    <row r="21" customFormat="false" ht="23.85" hidden="false" customHeight="false" outlineLevel="0" collapsed="false">
      <c r="A21" s="6" t="s">
        <v>192</v>
      </c>
      <c r="B21" s="6" t="s">
        <v>486</v>
      </c>
      <c r="C21" s="6" t="s">
        <v>603</v>
      </c>
      <c r="D21" s="6" t="s">
        <v>603</v>
      </c>
      <c r="E21" s="6" t="s">
        <v>603</v>
      </c>
      <c r="F21" s="6" t="s">
        <v>603</v>
      </c>
      <c r="G21" s="6" t="s">
        <v>604</v>
      </c>
      <c r="H21" s="6" t="s">
        <v>605</v>
      </c>
      <c r="I21" s="6" t="s">
        <v>606</v>
      </c>
      <c r="J21" s="6" t="s">
        <v>603</v>
      </c>
      <c r="K21" s="7" t="s">
        <v>55</v>
      </c>
      <c r="L21" s="7"/>
    </row>
    <row r="22" customFormat="false" ht="23.85" hidden="false" customHeight="false" outlineLevel="0" collapsed="false">
      <c r="A22" s="6" t="s">
        <v>175</v>
      </c>
      <c r="B22" s="6" t="s">
        <v>172</v>
      </c>
      <c r="C22" s="6" t="s">
        <v>603</v>
      </c>
      <c r="D22" s="6" t="s">
        <v>603</v>
      </c>
      <c r="E22" s="6" t="s">
        <v>603</v>
      </c>
      <c r="F22" s="6" t="s">
        <v>603</v>
      </c>
      <c r="G22" s="6" t="s">
        <v>604</v>
      </c>
      <c r="H22" s="6" t="s">
        <v>605</v>
      </c>
      <c r="I22" s="6" t="s">
        <v>606</v>
      </c>
      <c r="J22" s="6" t="s">
        <v>603</v>
      </c>
      <c r="K22" s="7" t="s">
        <v>55</v>
      </c>
      <c r="L22" s="7"/>
    </row>
    <row r="23" customFormat="false" ht="23.85" hidden="false" customHeight="false" outlineLevel="0" collapsed="false">
      <c r="A23" s="6" t="s">
        <v>186</v>
      </c>
      <c r="B23" s="6" t="s">
        <v>492</v>
      </c>
      <c r="C23" s="6" t="s">
        <v>603</v>
      </c>
      <c r="D23" s="6" t="s">
        <v>603</v>
      </c>
      <c r="E23" s="6" t="s">
        <v>603</v>
      </c>
      <c r="F23" s="6" t="s">
        <v>603</v>
      </c>
      <c r="G23" s="6" t="s">
        <v>604</v>
      </c>
      <c r="H23" s="6" t="s">
        <v>605</v>
      </c>
      <c r="I23" s="6" t="s">
        <v>606</v>
      </c>
      <c r="J23" s="6" t="s">
        <v>603</v>
      </c>
      <c r="K23" s="7" t="s">
        <v>55</v>
      </c>
      <c r="L23" s="7"/>
    </row>
    <row r="24" customFormat="false" ht="23.85" hidden="false" customHeight="false" outlineLevel="0" collapsed="false">
      <c r="A24" s="6" t="s">
        <v>208</v>
      </c>
      <c r="B24" s="6" t="s">
        <v>206</v>
      </c>
      <c r="C24" s="6" t="s">
        <v>603</v>
      </c>
      <c r="D24" s="6" t="s">
        <v>603</v>
      </c>
      <c r="E24" s="6" t="s">
        <v>603</v>
      </c>
      <c r="F24" s="6" t="s">
        <v>603</v>
      </c>
      <c r="G24" s="6" t="s">
        <v>604</v>
      </c>
      <c r="H24" s="6" t="s">
        <v>605</v>
      </c>
      <c r="I24" s="6" t="s">
        <v>606</v>
      </c>
      <c r="J24" s="6" t="s">
        <v>603</v>
      </c>
      <c r="K24" s="7" t="s">
        <v>55</v>
      </c>
      <c r="L24" s="7"/>
    </row>
    <row r="25" customFormat="false" ht="23.85" hidden="false" customHeight="false" outlineLevel="0" collapsed="false">
      <c r="A25" s="6" t="s">
        <v>214</v>
      </c>
      <c r="B25" s="6" t="s">
        <v>212</v>
      </c>
      <c r="C25" s="6" t="s">
        <v>603</v>
      </c>
      <c r="D25" s="6" t="s">
        <v>603</v>
      </c>
      <c r="E25" s="6" t="s">
        <v>603</v>
      </c>
      <c r="F25" s="6" t="s">
        <v>603</v>
      </c>
      <c r="G25" s="6" t="s">
        <v>604</v>
      </c>
      <c r="H25" s="6" t="s">
        <v>605</v>
      </c>
      <c r="I25" s="6" t="s">
        <v>606</v>
      </c>
      <c r="J25" s="6" t="s">
        <v>603</v>
      </c>
      <c r="K25" s="7" t="s">
        <v>55</v>
      </c>
      <c r="L25" s="7"/>
    </row>
    <row r="26" customFormat="false" ht="23.85" hidden="false" customHeight="false" outlineLevel="0" collapsed="false">
      <c r="A26" s="6" t="s">
        <v>221</v>
      </c>
      <c r="B26" s="6" t="s">
        <v>218</v>
      </c>
      <c r="C26" s="6" t="s">
        <v>603</v>
      </c>
      <c r="D26" s="6" t="s">
        <v>603</v>
      </c>
      <c r="E26" s="6" t="s">
        <v>603</v>
      </c>
      <c r="F26" s="6" t="s">
        <v>603</v>
      </c>
      <c r="G26" s="6" t="s">
        <v>604</v>
      </c>
      <c r="H26" s="6" t="s">
        <v>605</v>
      </c>
      <c r="I26" s="6" t="s">
        <v>606</v>
      </c>
      <c r="J26" s="6" t="s">
        <v>603</v>
      </c>
      <c r="K26" s="7" t="s">
        <v>55</v>
      </c>
      <c r="L26" s="7"/>
    </row>
    <row r="27" customFormat="false" ht="23.85" hidden="false" customHeight="false" outlineLevel="0" collapsed="false">
      <c r="A27" s="6" t="s">
        <v>497</v>
      </c>
      <c r="B27" s="6" t="s">
        <v>23</v>
      </c>
      <c r="C27" s="6" t="s">
        <v>608</v>
      </c>
      <c r="D27" s="6" t="s">
        <v>608</v>
      </c>
      <c r="E27" s="6" t="s">
        <v>608</v>
      </c>
      <c r="F27" s="6" t="s">
        <v>609</v>
      </c>
      <c r="G27" s="6" t="s">
        <v>610</v>
      </c>
      <c r="H27" s="6" t="s">
        <v>608</v>
      </c>
      <c r="I27" s="6" t="s">
        <v>608</v>
      </c>
      <c r="J27" s="6" t="s">
        <v>611</v>
      </c>
      <c r="K27" s="7" t="s">
        <v>55</v>
      </c>
      <c r="L27" s="7"/>
    </row>
    <row r="28" customFormat="false" ht="23.85" hidden="false" customHeight="false" outlineLevel="0" collapsed="false">
      <c r="A28" s="6" t="s">
        <v>231</v>
      </c>
      <c r="B28" s="6" t="s">
        <v>225</v>
      </c>
      <c r="C28" s="6" t="s">
        <v>603</v>
      </c>
      <c r="D28" s="6" t="s">
        <v>603</v>
      </c>
      <c r="E28" s="6" t="s">
        <v>603</v>
      </c>
      <c r="F28" s="6" t="s">
        <v>603</v>
      </c>
      <c r="G28" s="6" t="s">
        <v>607</v>
      </c>
      <c r="H28" s="6" t="s">
        <v>605</v>
      </c>
      <c r="I28" s="6" t="s">
        <v>607</v>
      </c>
      <c r="J28" s="6" t="s">
        <v>603</v>
      </c>
      <c r="K28" s="7" t="s">
        <v>55</v>
      </c>
      <c r="L28" s="7"/>
    </row>
    <row r="29" customFormat="false" ht="23.85" hidden="false" customHeight="false" outlineLevel="0" collapsed="false">
      <c r="A29" s="6" t="s">
        <v>239</v>
      </c>
      <c r="B29" s="6" t="s">
        <v>237</v>
      </c>
      <c r="C29" s="6" t="s">
        <v>603</v>
      </c>
      <c r="D29" s="6" t="s">
        <v>603</v>
      </c>
      <c r="E29" s="6" t="s">
        <v>603</v>
      </c>
      <c r="F29" s="6" t="s">
        <v>603</v>
      </c>
      <c r="G29" s="6" t="s">
        <v>607</v>
      </c>
      <c r="H29" s="6" t="s">
        <v>605</v>
      </c>
      <c r="I29" s="6" t="s">
        <v>607</v>
      </c>
      <c r="J29" s="6" t="s">
        <v>603</v>
      </c>
      <c r="K29" s="7" t="s">
        <v>55</v>
      </c>
      <c r="L29" s="7"/>
    </row>
    <row r="30" customFormat="false" ht="23.85" hidden="false" customHeight="false" outlineLevel="0" collapsed="false">
      <c r="A30" s="6" t="s">
        <v>244</v>
      </c>
      <c r="B30" s="6" t="s">
        <v>242</v>
      </c>
      <c r="C30" s="6" t="s">
        <v>603</v>
      </c>
      <c r="D30" s="6" t="s">
        <v>603</v>
      </c>
      <c r="E30" s="6" t="s">
        <v>603</v>
      </c>
      <c r="F30" s="6" t="s">
        <v>603</v>
      </c>
      <c r="G30" s="6" t="s">
        <v>607</v>
      </c>
      <c r="H30" s="6" t="s">
        <v>607</v>
      </c>
      <c r="I30" s="6" t="s">
        <v>606</v>
      </c>
      <c r="J30" s="6" t="s">
        <v>603</v>
      </c>
      <c r="K30" s="7" t="s">
        <v>55</v>
      </c>
      <c r="L30" s="7"/>
    </row>
    <row r="31" customFormat="false" ht="23.85" hidden="false" customHeight="false" outlineLevel="0" collapsed="false">
      <c r="A31" s="6" t="s">
        <v>250</v>
      </c>
      <c r="B31" s="6" t="s">
        <v>248</v>
      </c>
      <c r="C31" s="6" t="s">
        <v>603</v>
      </c>
      <c r="D31" s="6" t="s">
        <v>603</v>
      </c>
      <c r="E31" s="6" t="s">
        <v>603</v>
      </c>
      <c r="F31" s="6" t="s">
        <v>603</v>
      </c>
      <c r="G31" s="6" t="s">
        <v>604</v>
      </c>
      <c r="H31" s="6" t="s">
        <v>605</v>
      </c>
      <c r="I31" s="6" t="s">
        <v>606</v>
      </c>
      <c r="J31" s="6" t="s">
        <v>603</v>
      </c>
      <c r="K31" s="7" t="s">
        <v>55</v>
      </c>
      <c r="L31" s="7"/>
    </row>
    <row r="32" customFormat="false" ht="23.85" hidden="false" customHeight="false" outlineLevel="0" collapsed="false">
      <c r="A32" s="6" t="s">
        <v>258</v>
      </c>
      <c r="B32" s="6" t="s">
        <v>256</v>
      </c>
      <c r="C32" s="6" t="s">
        <v>603</v>
      </c>
      <c r="D32" s="6" t="s">
        <v>603</v>
      </c>
      <c r="E32" s="6" t="s">
        <v>603</v>
      </c>
      <c r="F32" s="6" t="s">
        <v>603</v>
      </c>
      <c r="G32" s="6" t="s">
        <v>604</v>
      </c>
      <c r="H32" s="6" t="s">
        <v>605</v>
      </c>
      <c r="I32" s="6" t="s">
        <v>606</v>
      </c>
      <c r="J32" s="6" t="s">
        <v>603</v>
      </c>
      <c r="K32" s="7" t="s">
        <v>55</v>
      </c>
      <c r="L32" s="7"/>
    </row>
    <row r="33" customFormat="false" ht="23.85" hidden="false" customHeight="false" outlineLevel="0" collapsed="false">
      <c r="A33" s="6" t="s">
        <v>263</v>
      </c>
      <c r="B33" s="6" t="s">
        <v>261</v>
      </c>
      <c r="C33" s="6" t="s">
        <v>603</v>
      </c>
      <c r="D33" s="6" t="s">
        <v>603</v>
      </c>
      <c r="E33" s="6" t="s">
        <v>603</v>
      </c>
      <c r="F33" s="6" t="s">
        <v>603</v>
      </c>
      <c r="G33" s="6" t="s">
        <v>604</v>
      </c>
      <c r="H33" s="6" t="s">
        <v>605</v>
      </c>
      <c r="I33" s="6" t="s">
        <v>606</v>
      </c>
      <c r="J33" s="6" t="s">
        <v>603</v>
      </c>
      <c r="K33" s="7" t="s">
        <v>55</v>
      </c>
      <c r="L33" s="7"/>
    </row>
    <row r="34" customFormat="false" ht="23.85" hidden="false" customHeight="false" outlineLevel="0" collapsed="false">
      <c r="A34" s="6" t="s">
        <v>269</v>
      </c>
      <c r="B34" s="6" t="s">
        <v>511</v>
      </c>
      <c r="C34" s="6" t="s">
        <v>603</v>
      </c>
      <c r="D34" s="6" t="s">
        <v>603</v>
      </c>
      <c r="E34" s="6" t="s">
        <v>603</v>
      </c>
      <c r="F34" s="6" t="s">
        <v>603</v>
      </c>
      <c r="G34" s="6" t="s">
        <v>604</v>
      </c>
      <c r="H34" s="6" t="s">
        <v>605</v>
      </c>
      <c r="I34" s="6" t="s">
        <v>606</v>
      </c>
      <c r="J34" s="6" t="s">
        <v>603</v>
      </c>
      <c r="K34" s="7" t="s">
        <v>55</v>
      </c>
      <c r="L34" s="7"/>
    </row>
    <row r="35" customFormat="false" ht="23.85" hidden="false" customHeight="false" outlineLevel="0" collapsed="false">
      <c r="A35" s="6" t="s">
        <v>280</v>
      </c>
      <c r="B35" s="6" t="s">
        <v>513</v>
      </c>
      <c r="C35" s="6" t="s">
        <v>603</v>
      </c>
      <c r="D35" s="6" t="s">
        <v>603</v>
      </c>
      <c r="E35" s="6" t="s">
        <v>603</v>
      </c>
      <c r="F35" s="6" t="s">
        <v>603</v>
      </c>
      <c r="G35" s="6" t="s">
        <v>604</v>
      </c>
      <c r="H35" s="6" t="s">
        <v>605</v>
      </c>
      <c r="I35" s="6" t="s">
        <v>606</v>
      </c>
      <c r="J35" s="6" t="s">
        <v>603</v>
      </c>
      <c r="K35" s="7" t="s">
        <v>55</v>
      </c>
      <c r="L35" s="7"/>
    </row>
    <row r="36" customFormat="false" ht="23.85" hidden="false" customHeight="false" outlineLevel="0" collapsed="false">
      <c r="A36" s="6" t="s">
        <v>514</v>
      </c>
      <c r="B36" s="6" t="s">
        <v>23</v>
      </c>
      <c r="C36" s="6" t="s">
        <v>608</v>
      </c>
      <c r="D36" s="6" t="s">
        <v>608</v>
      </c>
      <c r="E36" s="6" t="s">
        <v>608</v>
      </c>
      <c r="F36" s="6" t="s">
        <v>609</v>
      </c>
      <c r="G36" s="6" t="s">
        <v>610</v>
      </c>
      <c r="H36" s="6" t="s">
        <v>608</v>
      </c>
      <c r="I36" s="6" t="s">
        <v>608</v>
      </c>
      <c r="J36" s="6" t="s">
        <v>611</v>
      </c>
      <c r="K36" s="7" t="s">
        <v>55</v>
      </c>
      <c r="L36" s="7"/>
    </row>
    <row r="37" customFormat="false" ht="23.85" hidden="false" customHeight="false" outlineLevel="0" collapsed="false">
      <c r="A37" s="6" t="s">
        <v>300</v>
      </c>
      <c r="B37" s="6" t="s">
        <v>294</v>
      </c>
      <c r="C37" s="6" t="s">
        <v>603</v>
      </c>
      <c r="D37" s="6" t="s">
        <v>603</v>
      </c>
      <c r="E37" s="6" t="s">
        <v>603</v>
      </c>
      <c r="F37" s="6" t="s">
        <v>603</v>
      </c>
      <c r="G37" s="6" t="s">
        <v>607</v>
      </c>
      <c r="H37" s="6" t="s">
        <v>605</v>
      </c>
      <c r="I37" s="6" t="s">
        <v>606</v>
      </c>
      <c r="J37" s="6" t="s">
        <v>603</v>
      </c>
      <c r="K37" s="7" t="s">
        <v>55</v>
      </c>
      <c r="L37" s="7"/>
    </row>
    <row r="38" customFormat="false" ht="23.85" hidden="false" customHeight="false" outlineLevel="0" collapsed="false">
      <c r="A38" s="6" t="s">
        <v>307</v>
      </c>
      <c r="B38" s="6" t="s">
        <v>305</v>
      </c>
      <c r="C38" s="6" t="s">
        <v>603</v>
      </c>
      <c r="D38" s="6" t="s">
        <v>603</v>
      </c>
      <c r="E38" s="6" t="s">
        <v>603</v>
      </c>
      <c r="F38" s="6" t="s">
        <v>603</v>
      </c>
      <c r="G38" s="6" t="s">
        <v>604</v>
      </c>
      <c r="H38" s="6" t="s">
        <v>605</v>
      </c>
      <c r="I38" s="6" t="s">
        <v>606</v>
      </c>
      <c r="J38" s="6" t="s">
        <v>603</v>
      </c>
      <c r="K38" s="7" t="s">
        <v>55</v>
      </c>
      <c r="L38" s="7"/>
    </row>
    <row r="39" customFormat="false" ht="23.85" hidden="false" customHeight="false" outlineLevel="0" collapsed="false">
      <c r="A39" s="6" t="s">
        <v>313</v>
      </c>
      <c r="B39" s="6" t="s">
        <v>311</v>
      </c>
      <c r="C39" s="6" t="s">
        <v>603</v>
      </c>
      <c r="D39" s="6" t="s">
        <v>603</v>
      </c>
      <c r="E39" s="6" t="s">
        <v>603</v>
      </c>
      <c r="F39" s="6" t="s">
        <v>603</v>
      </c>
      <c r="G39" s="6" t="s">
        <v>604</v>
      </c>
      <c r="H39" s="6" t="s">
        <v>605</v>
      </c>
      <c r="I39" s="6" t="s">
        <v>606</v>
      </c>
      <c r="J39" s="6" t="s">
        <v>603</v>
      </c>
      <c r="K39" s="7" t="s">
        <v>55</v>
      </c>
      <c r="L39" s="7"/>
    </row>
    <row r="40" customFormat="false" ht="23.85" hidden="false" customHeight="false" outlineLevel="0" collapsed="false">
      <c r="A40" s="6" t="s">
        <v>320</v>
      </c>
      <c r="B40" s="6" t="s">
        <v>317</v>
      </c>
      <c r="C40" s="6" t="s">
        <v>603</v>
      </c>
      <c r="D40" s="6" t="s">
        <v>603</v>
      </c>
      <c r="E40" s="6" t="s">
        <v>603</v>
      </c>
      <c r="F40" s="6" t="s">
        <v>603</v>
      </c>
      <c r="G40" s="6" t="s">
        <v>604</v>
      </c>
      <c r="H40" s="6" t="s">
        <v>605</v>
      </c>
      <c r="I40" s="6" t="s">
        <v>606</v>
      </c>
      <c r="J40" s="6" t="s">
        <v>603</v>
      </c>
      <c r="K40" s="7" t="s">
        <v>55</v>
      </c>
      <c r="L40" s="7"/>
    </row>
    <row r="41" customFormat="false" ht="23.85" hidden="false" customHeight="false" outlineLevel="0" collapsed="false">
      <c r="A41" s="6" t="s">
        <v>325</v>
      </c>
      <c r="B41" s="6" t="s">
        <v>323</v>
      </c>
      <c r="C41" s="6" t="s">
        <v>603</v>
      </c>
      <c r="D41" s="6" t="s">
        <v>603</v>
      </c>
      <c r="E41" s="6" t="s">
        <v>603</v>
      </c>
      <c r="F41" s="6" t="s">
        <v>603</v>
      </c>
      <c r="G41" s="6" t="s">
        <v>604</v>
      </c>
      <c r="H41" s="6" t="s">
        <v>605</v>
      </c>
      <c r="I41" s="6" t="s">
        <v>606</v>
      </c>
      <c r="J41" s="6" t="s">
        <v>603</v>
      </c>
      <c r="K41" s="7" t="s">
        <v>55</v>
      </c>
      <c r="L41" s="7"/>
    </row>
    <row r="42" customFormat="false" ht="23.85" hidden="false" customHeight="false" outlineLevel="0" collapsed="false">
      <c r="A42" s="6" t="s">
        <v>331</v>
      </c>
      <c r="B42" s="6" t="s">
        <v>526</v>
      </c>
      <c r="C42" s="6" t="s">
        <v>603</v>
      </c>
      <c r="D42" s="6" t="s">
        <v>603</v>
      </c>
      <c r="E42" s="6" t="s">
        <v>603</v>
      </c>
      <c r="F42" s="6" t="s">
        <v>603</v>
      </c>
      <c r="G42" s="6" t="s">
        <v>604</v>
      </c>
      <c r="H42" s="6" t="s">
        <v>605</v>
      </c>
      <c r="I42" s="6" t="s">
        <v>606</v>
      </c>
      <c r="J42" s="6" t="s">
        <v>603</v>
      </c>
      <c r="K42" s="7" t="s">
        <v>55</v>
      </c>
      <c r="L42" s="7"/>
    </row>
    <row r="43" customFormat="false" ht="23.85" hidden="false" customHeight="false" outlineLevel="0" collapsed="false">
      <c r="A43" s="6" t="s">
        <v>340</v>
      </c>
      <c r="B43" s="6" t="s">
        <v>530</v>
      </c>
      <c r="C43" s="6" t="s">
        <v>603</v>
      </c>
      <c r="D43" s="6" t="s">
        <v>603</v>
      </c>
      <c r="E43" s="6" t="s">
        <v>603</v>
      </c>
      <c r="F43" s="6" t="s">
        <v>603</v>
      </c>
      <c r="G43" s="6" t="s">
        <v>604</v>
      </c>
      <c r="H43" s="6" t="s">
        <v>605</v>
      </c>
      <c r="I43" s="6" t="s">
        <v>606</v>
      </c>
      <c r="J43" s="6" t="s">
        <v>603</v>
      </c>
      <c r="K43" s="7" t="s">
        <v>55</v>
      </c>
      <c r="L43" s="7"/>
    </row>
    <row r="44" customFormat="false" ht="23.85" hidden="false" customHeight="false" outlineLevel="0" collapsed="false">
      <c r="A44" s="6" t="s">
        <v>531</v>
      </c>
      <c r="B44" s="6" t="s">
        <v>23</v>
      </c>
      <c r="C44" s="6" t="s">
        <v>608</v>
      </c>
      <c r="D44" s="6" t="s">
        <v>608</v>
      </c>
      <c r="E44" s="6" t="s">
        <v>608</v>
      </c>
      <c r="F44" s="6" t="s">
        <v>609</v>
      </c>
      <c r="G44" s="6" t="s">
        <v>610</v>
      </c>
      <c r="H44" s="6" t="s">
        <v>608</v>
      </c>
      <c r="I44" s="6" t="s">
        <v>608</v>
      </c>
      <c r="J44" s="6" t="s">
        <v>611</v>
      </c>
      <c r="K44" s="7" t="s">
        <v>55</v>
      </c>
      <c r="L44" s="7"/>
    </row>
    <row r="45" customFormat="false" ht="23.85" hidden="false" customHeight="false" outlineLevel="0" collapsed="false">
      <c r="A45" s="6" t="s">
        <v>351</v>
      </c>
      <c r="B45" s="6" t="s">
        <v>346</v>
      </c>
      <c r="C45" s="6" t="s">
        <v>603</v>
      </c>
      <c r="D45" s="6" t="s">
        <v>603</v>
      </c>
      <c r="E45" s="6" t="s">
        <v>603</v>
      </c>
      <c r="F45" s="6" t="s">
        <v>603</v>
      </c>
      <c r="G45" s="6" t="s">
        <v>604</v>
      </c>
      <c r="H45" s="6" t="s">
        <v>605</v>
      </c>
      <c r="I45" s="6" t="s">
        <v>606</v>
      </c>
      <c r="J45" s="6" t="s">
        <v>603</v>
      </c>
      <c r="K45" s="7" t="s">
        <v>55</v>
      </c>
      <c r="L45" s="7"/>
    </row>
    <row r="46" customFormat="false" ht="23.85" hidden="false" customHeight="false" outlineLevel="0" collapsed="false">
      <c r="A46" s="6" t="s">
        <v>358</v>
      </c>
      <c r="B46" s="6" t="s">
        <v>356</v>
      </c>
      <c r="C46" s="6" t="s">
        <v>603</v>
      </c>
      <c r="D46" s="6" t="s">
        <v>603</v>
      </c>
      <c r="E46" s="6" t="s">
        <v>603</v>
      </c>
      <c r="F46" s="6" t="s">
        <v>603</v>
      </c>
      <c r="G46" s="6" t="s">
        <v>607</v>
      </c>
      <c r="H46" s="6" t="s">
        <v>605</v>
      </c>
      <c r="I46" s="6" t="s">
        <v>606</v>
      </c>
      <c r="J46" s="6" t="s">
        <v>603</v>
      </c>
      <c r="K46" s="7" t="s">
        <v>55</v>
      </c>
      <c r="L46" s="7"/>
    </row>
    <row r="47" customFormat="false" ht="23.85" hidden="false" customHeight="false" outlineLevel="0" collapsed="false">
      <c r="A47" s="6" t="s">
        <v>365</v>
      </c>
      <c r="B47" s="6" t="s">
        <v>363</v>
      </c>
      <c r="C47" s="6" t="s">
        <v>603</v>
      </c>
      <c r="D47" s="6" t="s">
        <v>603</v>
      </c>
      <c r="E47" s="6" t="s">
        <v>603</v>
      </c>
      <c r="F47" s="6" t="s">
        <v>603</v>
      </c>
      <c r="G47" s="6" t="s">
        <v>604</v>
      </c>
      <c r="H47" s="6" t="s">
        <v>607</v>
      </c>
      <c r="I47" s="6" t="s">
        <v>606</v>
      </c>
      <c r="J47" s="6" t="s">
        <v>603</v>
      </c>
      <c r="K47" s="7" t="s">
        <v>55</v>
      </c>
      <c r="L47" s="7"/>
    </row>
    <row r="48" customFormat="false" ht="23.85" hidden="false" customHeight="false" outlineLevel="0" collapsed="false">
      <c r="A48" s="6" t="s">
        <v>370</v>
      </c>
      <c r="B48" s="6" t="s">
        <v>368</v>
      </c>
      <c r="C48" s="6" t="s">
        <v>603</v>
      </c>
      <c r="D48" s="6" t="s">
        <v>603</v>
      </c>
      <c r="E48" s="6" t="s">
        <v>603</v>
      </c>
      <c r="F48" s="6" t="s">
        <v>603</v>
      </c>
      <c r="G48" s="6" t="s">
        <v>604</v>
      </c>
      <c r="H48" s="6" t="s">
        <v>605</v>
      </c>
      <c r="I48" s="6" t="s">
        <v>606</v>
      </c>
      <c r="J48" s="6" t="s">
        <v>603</v>
      </c>
      <c r="K48" s="7" t="s">
        <v>55</v>
      </c>
      <c r="L48" s="7"/>
    </row>
    <row r="49" customFormat="false" ht="23.85" hidden="false" customHeight="false" outlineLevel="0" collapsed="false">
      <c r="A49" s="6" t="s">
        <v>377</v>
      </c>
      <c r="B49" s="6" t="s">
        <v>374</v>
      </c>
      <c r="C49" s="6" t="s">
        <v>603</v>
      </c>
      <c r="D49" s="6" t="s">
        <v>603</v>
      </c>
      <c r="E49" s="6" t="s">
        <v>603</v>
      </c>
      <c r="F49" s="6" t="s">
        <v>603</v>
      </c>
      <c r="G49" s="6" t="s">
        <v>607</v>
      </c>
      <c r="H49" s="6" t="s">
        <v>605</v>
      </c>
      <c r="I49" s="6" t="s">
        <v>606</v>
      </c>
      <c r="J49" s="6" t="s">
        <v>603</v>
      </c>
      <c r="K49" s="7" t="s">
        <v>55</v>
      </c>
      <c r="L49" s="7"/>
    </row>
    <row r="50" customFormat="false" ht="23.85" hidden="false" customHeight="false" outlineLevel="0" collapsed="false">
      <c r="A50" s="6" t="s">
        <v>385</v>
      </c>
      <c r="B50" s="6" t="s">
        <v>543</v>
      </c>
      <c r="C50" s="6" t="s">
        <v>603</v>
      </c>
      <c r="D50" s="6" t="s">
        <v>603</v>
      </c>
      <c r="E50" s="6" t="s">
        <v>603</v>
      </c>
      <c r="F50" s="6" t="s">
        <v>603</v>
      </c>
      <c r="G50" s="6" t="s">
        <v>604</v>
      </c>
      <c r="H50" s="6" t="s">
        <v>607</v>
      </c>
      <c r="I50" s="6" t="s">
        <v>606</v>
      </c>
      <c r="J50" s="6" t="s">
        <v>603</v>
      </c>
      <c r="K50" s="7" t="s">
        <v>55</v>
      </c>
      <c r="L50" s="7"/>
    </row>
    <row r="51" customFormat="false" ht="23.85" hidden="false" customHeight="false" outlineLevel="0" collapsed="false">
      <c r="A51" s="6" t="s">
        <v>394</v>
      </c>
      <c r="B51" s="6" t="s">
        <v>546</v>
      </c>
      <c r="C51" s="6" t="s">
        <v>603</v>
      </c>
      <c r="D51" s="6" t="s">
        <v>603</v>
      </c>
      <c r="E51" s="6" t="s">
        <v>603</v>
      </c>
      <c r="F51" s="6" t="s">
        <v>603</v>
      </c>
      <c r="G51" s="6" t="s">
        <v>604</v>
      </c>
      <c r="H51" s="6" t="s">
        <v>605</v>
      </c>
      <c r="I51" s="6" t="s">
        <v>606</v>
      </c>
      <c r="J51" s="6" t="s">
        <v>603</v>
      </c>
      <c r="K51" s="7" t="s">
        <v>55</v>
      </c>
      <c r="L51" s="7"/>
    </row>
    <row r="52" customFormat="false" ht="23.85" hidden="false" customHeight="false" outlineLevel="0" collapsed="false">
      <c r="A52" s="6" t="s">
        <v>547</v>
      </c>
      <c r="B52" s="6" t="s">
        <v>23</v>
      </c>
      <c r="C52" s="6" t="s">
        <v>608</v>
      </c>
      <c r="D52" s="6" t="s">
        <v>608</v>
      </c>
      <c r="E52" s="6" t="s">
        <v>608</v>
      </c>
      <c r="F52" s="6" t="s">
        <v>609</v>
      </c>
      <c r="G52" s="6" t="s">
        <v>610</v>
      </c>
      <c r="H52" s="6" t="s">
        <v>608</v>
      </c>
      <c r="I52" s="6" t="s">
        <v>608</v>
      </c>
      <c r="J52" s="6" t="s">
        <v>611</v>
      </c>
      <c r="K52" s="7" t="s">
        <v>55</v>
      </c>
      <c r="L52" s="7"/>
    </row>
    <row r="53" customFormat="false" ht="23.85" hidden="false" customHeight="false" outlineLevel="0" collapsed="false">
      <c r="A53" s="6" t="s">
        <v>408</v>
      </c>
      <c r="B53" s="6" t="s">
        <v>402</v>
      </c>
      <c r="C53" s="6" t="s">
        <v>603</v>
      </c>
      <c r="D53" s="6" t="s">
        <v>603</v>
      </c>
      <c r="E53" s="6" t="s">
        <v>603</v>
      </c>
      <c r="F53" s="6" t="s">
        <v>603</v>
      </c>
      <c r="G53" s="6" t="s">
        <v>607</v>
      </c>
      <c r="H53" s="6" t="s">
        <v>605</v>
      </c>
      <c r="I53" s="6" t="s">
        <v>606</v>
      </c>
      <c r="J53" s="6" t="s">
        <v>603</v>
      </c>
      <c r="K53" s="7" t="s">
        <v>55</v>
      </c>
      <c r="L53" s="7"/>
    </row>
    <row r="54" customFormat="false" ht="23.85" hidden="false" customHeight="false" outlineLevel="0" collapsed="false">
      <c r="A54" s="6" t="s">
        <v>415</v>
      </c>
      <c r="B54" s="6" t="s">
        <v>412</v>
      </c>
      <c r="C54" s="6" t="s">
        <v>603</v>
      </c>
      <c r="D54" s="6" t="s">
        <v>603</v>
      </c>
      <c r="E54" s="6" t="s">
        <v>603</v>
      </c>
      <c r="F54" s="6" t="s">
        <v>603</v>
      </c>
      <c r="G54" s="6" t="s">
        <v>607</v>
      </c>
      <c r="H54" s="6" t="s">
        <v>605</v>
      </c>
      <c r="I54" s="6" t="s">
        <v>606</v>
      </c>
      <c r="J54" s="6" t="s">
        <v>603</v>
      </c>
      <c r="K54" s="7" t="s">
        <v>55</v>
      </c>
      <c r="L54" s="7"/>
    </row>
    <row r="55" customFormat="false" ht="23.85" hidden="false" customHeight="false" outlineLevel="0" collapsed="false">
      <c r="A55" s="6" t="s">
        <v>422</v>
      </c>
      <c r="B55" s="6" t="s">
        <v>419</v>
      </c>
      <c r="C55" s="6" t="s">
        <v>603</v>
      </c>
      <c r="D55" s="6" t="s">
        <v>603</v>
      </c>
      <c r="E55" s="6" t="s">
        <v>603</v>
      </c>
      <c r="F55" s="6" t="s">
        <v>603</v>
      </c>
      <c r="G55" s="6" t="s">
        <v>604</v>
      </c>
      <c r="H55" s="6" t="s">
        <v>605</v>
      </c>
      <c r="I55" s="6" t="s">
        <v>606</v>
      </c>
      <c r="J55" s="6" t="s">
        <v>603</v>
      </c>
      <c r="K55" s="7" t="s">
        <v>55</v>
      </c>
      <c r="L55" s="7"/>
    </row>
    <row r="56" customFormat="false" ht="23.85" hidden="false" customHeight="false" outlineLevel="0" collapsed="false">
      <c r="A56" s="6" t="s">
        <v>428</v>
      </c>
      <c r="B56" s="6" t="s">
        <v>425</v>
      </c>
      <c r="C56" s="6" t="s">
        <v>603</v>
      </c>
      <c r="D56" s="6" t="s">
        <v>603</v>
      </c>
      <c r="E56" s="6" t="s">
        <v>603</v>
      </c>
      <c r="F56" s="6" t="s">
        <v>603</v>
      </c>
      <c r="G56" s="6" t="s">
        <v>604</v>
      </c>
      <c r="H56" s="6" t="s">
        <v>605</v>
      </c>
      <c r="I56" s="6" t="s">
        <v>606</v>
      </c>
      <c r="J56" s="6" t="s">
        <v>603</v>
      </c>
      <c r="K56" s="7" t="s">
        <v>55</v>
      </c>
      <c r="L56" s="7"/>
    </row>
    <row r="57" customFormat="false" ht="23.85" hidden="false" customHeight="false" outlineLevel="0" collapsed="false">
      <c r="A57" s="6" t="s">
        <v>435</v>
      </c>
      <c r="B57" s="6" t="s">
        <v>432</v>
      </c>
      <c r="C57" s="6" t="s">
        <v>603</v>
      </c>
      <c r="D57" s="6" t="s">
        <v>603</v>
      </c>
      <c r="E57" s="6" t="s">
        <v>603</v>
      </c>
      <c r="F57" s="6" t="s">
        <v>603</v>
      </c>
      <c r="G57" s="6" t="s">
        <v>604</v>
      </c>
      <c r="H57" s="6" t="s">
        <v>605</v>
      </c>
      <c r="I57" s="6" t="s">
        <v>606</v>
      </c>
      <c r="J57" s="6" t="s">
        <v>603</v>
      </c>
      <c r="K57" s="7" t="s">
        <v>55</v>
      </c>
      <c r="L57" s="7"/>
    </row>
    <row r="58" customFormat="false" ht="23.85" hidden="false" customHeight="false" outlineLevel="0" collapsed="false">
      <c r="A58" s="6" t="s">
        <v>441</v>
      </c>
      <c r="B58" s="6" t="s">
        <v>559</v>
      </c>
      <c r="C58" s="6" t="s">
        <v>603</v>
      </c>
      <c r="D58" s="6" t="s">
        <v>603</v>
      </c>
      <c r="E58" s="6" t="s">
        <v>603</v>
      </c>
      <c r="F58" s="6" t="s">
        <v>603</v>
      </c>
      <c r="G58" s="6" t="s">
        <v>604</v>
      </c>
      <c r="H58" s="6" t="s">
        <v>605</v>
      </c>
      <c r="I58" s="6" t="s">
        <v>606</v>
      </c>
      <c r="J58" s="6" t="s">
        <v>603</v>
      </c>
      <c r="K58" s="7" t="s">
        <v>55</v>
      </c>
      <c r="L58" s="7"/>
    </row>
    <row r="59" customFormat="false" ht="23.85" hidden="false" customHeight="false" outlineLevel="0" collapsed="false">
      <c r="A59" s="6" t="s">
        <v>560</v>
      </c>
      <c r="B59" s="6" t="s">
        <v>23</v>
      </c>
      <c r="C59" s="6" t="s">
        <v>608</v>
      </c>
      <c r="D59" s="6" t="s">
        <v>608</v>
      </c>
      <c r="E59" s="6" t="s">
        <v>608</v>
      </c>
      <c r="F59" s="6" t="s">
        <v>609</v>
      </c>
      <c r="G59" s="6" t="s">
        <v>610</v>
      </c>
      <c r="H59" s="6" t="s">
        <v>608</v>
      </c>
      <c r="I59" s="6" t="s">
        <v>608</v>
      </c>
      <c r="J59" s="6" t="s">
        <v>611</v>
      </c>
      <c r="K59" s="7" t="s">
        <v>55</v>
      </c>
      <c r="L59" s="7"/>
    </row>
  </sheetData>
  <autoFilter ref="A1:L59"/>
  <dataValidations count="1">
    <dataValidation allowBlank="true" errorStyle="stop" operator="between" showDropDown="false" showErrorMessage="false" showInputMessage="false" sqref="K2:K59" type="list">
      <formula1>"Planned,In PR,Merged,Published"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1"/>
    <col collapsed="false" customWidth="true" hidden="false" outlineLevel="0" max="3" min="3" style="0" width="52"/>
    <col collapsed="false" customWidth="true" hidden="false" outlineLevel="0" max="4" min="4" style="0" width="15"/>
    <col collapsed="false" customWidth="true" hidden="false" outlineLevel="0" max="5" min="5" style="0" width="9"/>
    <col collapsed="false" customWidth="true" hidden="false" outlineLevel="0" max="6" min="6" style="0" width="10"/>
    <col collapsed="false" customWidth="true" hidden="false" outlineLevel="0" max="7" min="7" style="0" width="50"/>
    <col collapsed="false" customWidth="true" hidden="false" outlineLevel="0" max="8" min="8" style="0" width="9"/>
    <col collapsed="false" customWidth="true" hidden="false" outlineLevel="0" max="9" min="9" style="0" width="10"/>
    <col collapsed="false" customWidth="true" hidden="false" outlineLevel="0" max="11" min="10" style="0" width="11"/>
  </cols>
  <sheetData>
    <row r="1" customFormat="false" ht="23.85" hidden="false" customHeight="false" outlineLevel="0" collapsed="false">
      <c r="A1" s="5" t="s">
        <v>612</v>
      </c>
      <c r="B1" s="5" t="s">
        <v>613</v>
      </c>
      <c r="C1" s="5" t="s">
        <v>614</v>
      </c>
      <c r="D1" s="5" t="s">
        <v>615</v>
      </c>
      <c r="E1" s="5" t="s">
        <v>616</v>
      </c>
      <c r="F1" s="5" t="s">
        <v>617</v>
      </c>
      <c r="G1" s="5" t="s">
        <v>618</v>
      </c>
      <c r="H1" s="5" t="s">
        <v>40</v>
      </c>
      <c r="I1" s="5" t="s">
        <v>35</v>
      </c>
      <c r="J1" s="5" t="s">
        <v>619</v>
      </c>
      <c r="K1" s="5" t="s">
        <v>620</v>
      </c>
    </row>
    <row r="2" customFormat="false" ht="23.85" hidden="false" customHeight="false" outlineLevel="0" collapsed="false">
      <c r="A2" s="6" t="s">
        <v>621</v>
      </c>
      <c r="B2" s="6" t="s">
        <v>434</v>
      </c>
      <c r="C2" s="6" t="s">
        <v>622</v>
      </c>
      <c r="D2" s="6" t="s">
        <v>623</v>
      </c>
      <c r="E2" s="6" t="s">
        <v>624</v>
      </c>
      <c r="F2" s="6" t="s">
        <v>625</v>
      </c>
      <c r="G2" s="6" t="s">
        <v>626</v>
      </c>
      <c r="H2" s="6" t="s">
        <v>384</v>
      </c>
      <c r="I2" s="7" t="s">
        <v>627</v>
      </c>
      <c r="J2" s="7" t="s">
        <v>628</v>
      </c>
      <c r="K2" s="7"/>
    </row>
    <row r="3" customFormat="false" ht="15" hidden="false" customHeight="false" outlineLevel="0" collapsed="false">
      <c r="A3" s="6" t="s">
        <v>629</v>
      </c>
      <c r="B3" s="6" t="s">
        <v>434</v>
      </c>
      <c r="C3" s="6" t="s">
        <v>630</v>
      </c>
      <c r="D3" s="6" t="s">
        <v>631</v>
      </c>
      <c r="E3" s="6" t="s">
        <v>625</v>
      </c>
      <c r="F3" s="6" t="s">
        <v>625</v>
      </c>
      <c r="G3" s="6" t="s">
        <v>632</v>
      </c>
      <c r="H3" s="6" t="s">
        <v>633</v>
      </c>
      <c r="I3" s="7" t="s">
        <v>627</v>
      </c>
      <c r="J3" s="7" t="s">
        <v>628</v>
      </c>
      <c r="K3" s="7"/>
    </row>
    <row r="4" customFormat="false" ht="23.85" hidden="false" customHeight="false" outlineLevel="0" collapsed="false">
      <c r="A4" s="6" t="s">
        <v>634</v>
      </c>
      <c r="B4" s="6" t="s">
        <v>434</v>
      </c>
      <c r="C4" s="6" t="s">
        <v>635</v>
      </c>
      <c r="D4" s="6" t="s">
        <v>636</v>
      </c>
      <c r="E4" s="6" t="s">
        <v>624</v>
      </c>
      <c r="F4" s="6" t="s">
        <v>625</v>
      </c>
      <c r="G4" s="6" t="s">
        <v>637</v>
      </c>
      <c r="H4" s="6" t="s">
        <v>638</v>
      </c>
      <c r="I4" s="7" t="s">
        <v>627</v>
      </c>
      <c r="J4" s="7" t="s">
        <v>628</v>
      </c>
      <c r="K4" s="7"/>
    </row>
    <row r="5" customFormat="false" ht="23.85" hidden="false" customHeight="false" outlineLevel="0" collapsed="false">
      <c r="A5" s="6" t="s">
        <v>639</v>
      </c>
      <c r="B5" s="6" t="s">
        <v>434</v>
      </c>
      <c r="C5" s="6" t="s">
        <v>640</v>
      </c>
      <c r="D5" s="6" t="s">
        <v>641</v>
      </c>
      <c r="E5" s="6" t="s">
        <v>625</v>
      </c>
      <c r="F5" s="6" t="s">
        <v>625</v>
      </c>
      <c r="G5" s="6" t="s">
        <v>642</v>
      </c>
      <c r="H5" s="6" t="s">
        <v>58</v>
      </c>
      <c r="I5" s="7" t="s">
        <v>627</v>
      </c>
      <c r="J5" s="7" t="s">
        <v>628</v>
      </c>
      <c r="K5" s="7"/>
    </row>
    <row r="6" customFormat="false" ht="23.85" hidden="false" customHeight="false" outlineLevel="0" collapsed="false">
      <c r="A6" s="6" t="s">
        <v>643</v>
      </c>
      <c r="B6" s="6" t="s">
        <v>434</v>
      </c>
      <c r="C6" s="6" t="s">
        <v>644</v>
      </c>
      <c r="D6" s="6" t="s">
        <v>631</v>
      </c>
      <c r="E6" s="6" t="s">
        <v>624</v>
      </c>
      <c r="F6" s="6" t="s">
        <v>645</v>
      </c>
      <c r="G6" s="6" t="s">
        <v>646</v>
      </c>
      <c r="H6" s="6" t="s">
        <v>633</v>
      </c>
      <c r="I6" s="7" t="s">
        <v>627</v>
      </c>
      <c r="J6" s="7" t="s">
        <v>628</v>
      </c>
      <c r="K6" s="7"/>
    </row>
    <row r="7" customFormat="false" ht="23.85" hidden="false" customHeight="false" outlineLevel="0" collapsed="false">
      <c r="A7" s="6" t="s">
        <v>647</v>
      </c>
      <c r="B7" s="6" t="s">
        <v>434</v>
      </c>
      <c r="C7" s="6" t="s">
        <v>648</v>
      </c>
      <c r="D7" s="6" t="s">
        <v>649</v>
      </c>
      <c r="E7" s="6" t="s">
        <v>625</v>
      </c>
      <c r="F7" s="6" t="s">
        <v>625</v>
      </c>
      <c r="G7" s="6" t="s">
        <v>650</v>
      </c>
      <c r="H7" s="6" t="s">
        <v>651</v>
      </c>
      <c r="I7" s="7" t="s">
        <v>627</v>
      </c>
      <c r="J7" s="7" t="s">
        <v>628</v>
      </c>
      <c r="K7" s="7"/>
    </row>
    <row r="8" customFormat="false" ht="23.85" hidden="false" customHeight="false" outlineLevel="0" collapsed="false">
      <c r="A8" s="6" t="s">
        <v>652</v>
      </c>
      <c r="B8" s="6" t="s">
        <v>434</v>
      </c>
      <c r="C8" s="6" t="s">
        <v>653</v>
      </c>
      <c r="D8" s="6" t="s">
        <v>654</v>
      </c>
      <c r="E8" s="6" t="s">
        <v>625</v>
      </c>
      <c r="F8" s="6" t="s">
        <v>624</v>
      </c>
      <c r="G8" s="6" t="s">
        <v>655</v>
      </c>
      <c r="H8" s="6" t="s">
        <v>651</v>
      </c>
      <c r="I8" s="7" t="s">
        <v>627</v>
      </c>
      <c r="J8" s="7" t="s">
        <v>628</v>
      </c>
      <c r="K8" s="7"/>
    </row>
    <row r="9" customFormat="false" ht="15" hidden="false" customHeight="false" outlineLevel="0" collapsed="false">
      <c r="A9" s="6" t="s">
        <v>656</v>
      </c>
      <c r="B9" s="6" t="s">
        <v>434</v>
      </c>
      <c r="C9" s="6" t="s">
        <v>657</v>
      </c>
      <c r="D9" s="6" t="s">
        <v>658</v>
      </c>
      <c r="E9" s="6" t="s">
        <v>625</v>
      </c>
      <c r="F9" s="6" t="s">
        <v>625</v>
      </c>
      <c r="G9" s="6" t="s">
        <v>659</v>
      </c>
      <c r="H9" s="6" t="s">
        <v>651</v>
      </c>
      <c r="I9" s="7" t="s">
        <v>627</v>
      </c>
      <c r="J9" s="7" t="s">
        <v>628</v>
      </c>
      <c r="K9" s="7"/>
    </row>
    <row r="10" customFormat="false" ht="23.85" hidden="false" customHeight="false" outlineLevel="0" collapsed="false">
      <c r="A10" s="6" t="s">
        <v>660</v>
      </c>
      <c r="B10" s="6" t="s">
        <v>661</v>
      </c>
      <c r="C10" s="6" t="s">
        <v>662</v>
      </c>
      <c r="D10" s="6" t="s">
        <v>46</v>
      </c>
      <c r="E10" s="6" t="s">
        <v>624</v>
      </c>
      <c r="F10" s="6" t="s">
        <v>53</v>
      </c>
      <c r="G10" s="6" t="s">
        <v>663</v>
      </c>
      <c r="H10" s="6" t="s">
        <v>664</v>
      </c>
      <c r="I10" s="7" t="s">
        <v>627</v>
      </c>
      <c r="J10" s="7" t="s">
        <v>628</v>
      </c>
      <c r="K10" s="7"/>
    </row>
    <row r="11" customFormat="false" ht="23.85" hidden="false" customHeight="false" outlineLevel="0" collapsed="false">
      <c r="A11" s="6" t="s">
        <v>665</v>
      </c>
      <c r="B11" s="6" t="s">
        <v>661</v>
      </c>
      <c r="C11" s="6" t="s">
        <v>666</v>
      </c>
      <c r="D11" s="6" t="s">
        <v>62</v>
      </c>
      <c r="E11" s="6" t="s">
        <v>624</v>
      </c>
      <c r="F11" s="6" t="s">
        <v>53</v>
      </c>
      <c r="G11" s="6" t="s">
        <v>667</v>
      </c>
      <c r="H11" s="6" t="s">
        <v>668</v>
      </c>
      <c r="I11" s="7" t="s">
        <v>627</v>
      </c>
      <c r="J11" s="7" t="s">
        <v>628</v>
      </c>
      <c r="K11" s="7"/>
    </row>
    <row r="12" customFormat="false" ht="15" hidden="false" customHeight="false" outlineLevel="0" collapsed="false">
      <c r="A12" s="6" t="s">
        <v>669</v>
      </c>
      <c r="B12" s="6" t="s">
        <v>661</v>
      </c>
      <c r="C12" s="6" t="s">
        <v>670</v>
      </c>
      <c r="D12" s="6" t="s">
        <v>128</v>
      </c>
      <c r="E12" s="6" t="s">
        <v>625</v>
      </c>
      <c r="F12" s="6" t="s">
        <v>53</v>
      </c>
      <c r="G12" s="6" t="s">
        <v>671</v>
      </c>
      <c r="H12" s="6" t="s">
        <v>668</v>
      </c>
      <c r="I12" s="7" t="s">
        <v>627</v>
      </c>
      <c r="J12" s="7" t="s">
        <v>628</v>
      </c>
      <c r="K12" s="7"/>
    </row>
    <row r="13" customFormat="false" ht="15" hidden="false" customHeight="false" outlineLevel="0" collapsed="false">
      <c r="A13" s="6" t="s">
        <v>672</v>
      </c>
      <c r="B13" s="6" t="s">
        <v>673</v>
      </c>
      <c r="C13" s="6" t="s">
        <v>674</v>
      </c>
      <c r="D13" s="6" t="s">
        <v>675</v>
      </c>
      <c r="E13" s="6" t="s">
        <v>624</v>
      </c>
      <c r="F13" s="6" t="s">
        <v>53</v>
      </c>
      <c r="G13" s="6" t="s">
        <v>676</v>
      </c>
      <c r="H13" s="6" t="s">
        <v>668</v>
      </c>
      <c r="I13" s="7" t="s">
        <v>627</v>
      </c>
      <c r="J13" s="7" t="s">
        <v>628</v>
      </c>
      <c r="K13" s="7"/>
    </row>
    <row r="14" customFormat="false" ht="15" hidden="false" customHeight="false" outlineLevel="0" collapsed="false">
      <c r="A14" s="6" t="s">
        <v>677</v>
      </c>
      <c r="B14" s="6" t="s">
        <v>673</v>
      </c>
      <c r="C14" s="6" t="s">
        <v>678</v>
      </c>
      <c r="D14" s="6" t="s">
        <v>679</v>
      </c>
      <c r="E14" s="6" t="s">
        <v>625</v>
      </c>
      <c r="F14" s="6" t="s">
        <v>53</v>
      </c>
      <c r="G14" s="6" t="s">
        <v>680</v>
      </c>
      <c r="H14" s="6" t="s">
        <v>633</v>
      </c>
      <c r="I14" s="7" t="s">
        <v>627</v>
      </c>
      <c r="J14" s="7" t="s">
        <v>628</v>
      </c>
      <c r="K14" s="7"/>
    </row>
    <row r="15" customFormat="false" ht="15" hidden="false" customHeight="false" outlineLevel="0" collapsed="false">
      <c r="A15" s="6" t="s">
        <v>681</v>
      </c>
      <c r="B15" s="6" t="s">
        <v>673</v>
      </c>
      <c r="C15" s="6" t="s">
        <v>682</v>
      </c>
      <c r="D15" s="6" t="s">
        <v>683</v>
      </c>
      <c r="E15" s="6" t="s">
        <v>624</v>
      </c>
      <c r="F15" s="6" t="s">
        <v>53</v>
      </c>
      <c r="G15" s="6" t="s">
        <v>684</v>
      </c>
      <c r="H15" s="6" t="s">
        <v>384</v>
      </c>
      <c r="I15" s="7" t="s">
        <v>627</v>
      </c>
      <c r="J15" s="7" t="s">
        <v>628</v>
      </c>
      <c r="K15" s="7"/>
    </row>
    <row r="16" customFormat="false" ht="23.85" hidden="false" customHeight="false" outlineLevel="0" collapsed="false">
      <c r="A16" s="6" t="s">
        <v>685</v>
      </c>
      <c r="B16" s="6" t="s">
        <v>686</v>
      </c>
      <c r="C16" s="6" t="s">
        <v>687</v>
      </c>
      <c r="D16" s="6" t="s">
        <v>688</v>
      </c>
      <c r="E16" s="6" t="s">
        <v>624</v>
      </c>
      <c r="F16" s="6" t="s">
        <v>53</v>
      </c>
      <c r="G16" s="6" t="s">
        <v>689</v>
      </c>
      <c r="H16" s="6" t="s">
        <v>664</v>
      </c>
      <c r="I16" s="7" t="s">
        <v>627</v>
      </c>
      <c r="J16" s="7" t="s">
        <v>628</v>
      </c>
      <c r="K16" s="7"/>
    </row>
  </sheetData>
  <autoFilter ref="A1:K16"/>
  <dataValidations count="1">
    <dataValidation allowBlank="true" errorStyle="stop" operator="between" showDropDown="false" showErrorMessage="false" showInputMessage="false" sqref="I2:I16" type="list">
      <formula1>"Open,Mitigating,Closed"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2026-08-06T10:18:44Z</dcterms:created>
  <dc:creator>openpyxl</dc:creator>
  <dc:description/>
  <dc:language>en-US</dc:language>
  <cp:lastModifiedBy/>
  <dcterms:modified xsi:type="dcterms:W3CDTF">2026-08-06T10:18:44Z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